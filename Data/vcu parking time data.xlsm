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0800" windowHeight="6435" activeTab="7"/>
  </bookViews>
  <sheets>
    <sheet name="Area 1" sheetId="1" r:id="rId1"/>
    <sheet name="_@RISKFitInformation" sheetId="7" state="hidden" r:id="rId2"/>
    <sheet name="Area 2" sheetId="2" r:id="rId3"/>
    <sheet name="Area 3" sheetId="3" r:id="rId4"/>
    <sheet name="Area 4" sheetId="4" r:id="rId5"/>
    <sheet name="Area 5" sheetId="5" r:id="rId6"/>
    <sheet name="Area 6" sheetId="6" r:id="rId7"/>
    <sheet name="Statistical Data Summary" sheetId="8" r:id="rId8"/>
    <sheet name="Simulation Results" sheetId="10" r:id="rId9"/>
    <sheet name="Data Collection Evolution" sheetId="11" r:id="rId10"/>
  </sheets>
  <definedNames>
    <definedName name="_AtRisk_FitDataRange_FIT_139B2_A841A" hidden="1">'Area 2'!$K$38:$K$44</definedName>
    <definedName name="_AtRisk_FitDataRange_FIT_1819E_224F5" hidden="1">'Area 5'!$O$10:$O$15</definedName>
    <definedName name="_AtRisk_FitDataRange_FIT_1BA89_E8002" hidden="1">'Area 2'!$M$23:$M$71</definedName>
    <definedName name="_AtRisk_FitDataRange_FIT_2F4AB_C729B" hidden="1">'Area 5'!$P$10:$P$14</definedName>
    <definedName name="_AtRisk_FitDataRange_FIT_33D58_C054C" hidden="1">'Area 2'!$L$38:$L$42</definedName>
    <definedName name="_AtRisk_FitDataRange_FIT_358F8_6583A" hidden="1">'Area 3'!$P$21:$P$26</definedName>
    <definedName name="_AtRisk_FitDataRange_FIT_3FA90_305F4" hidden="1">'Area 5'!$N$10:$N$32</definedName>
    <definedName name="_AtRisk_FitDataRange_FIT_4133E_A09E" hidden="1">'Area 2'!$Q$28:$Q$48</definedName>
    <definedName name="_AtRisk_FitDataRange_FIT_42930_2D9AF" hidden="1">'Area 2'!$M$73:$M$114</definedName>
    <definedName name="_AtRisk_FitDataRange_FIT_45D05_533A4" hidden="1">'Area 1'!$K$7:$K$85</definedName>
    <definedName name="_AtRisk_FitDataRange_FIT_4A6FF_AD9B2" hidden="1">'Area 1'!$L$7:$L$30</definedName>
    <definedName name="_AtRisk_FitDataRange_FIT_4FA9F_36591" hidden="1">'Area 1'!$M$7:$M$33</definedName>
    <definedName name="_AtRisk_FitDataRange_FIT_6C853_422FB" hidden="1">'Area 2'!$R$28:$R$46</definedName>
    <definedName name="_AtRisk_FitDataRange_FIT_761C2_52822" hidden="1">'Area 3'!$R$21:$R$74</definedName>
    <definedName name="_AtRisk_FitDataRange_FIT_7BEC_B0365" hidden="1">'Area 2'!$L$23:$L$36</definedName>
    <definedName name="_AtRisk_FitDataRange_FIT_8221B_1C6D7" hidden="1">'Area 4'!$R$14:$R$248</definedName>
    <definedName name="_AtRisk_FitDataRange_FIT_886B1_9F792" hidden="1">'Area 4'!$Q$14:$Q$20</definedName>
    <definedName name="_AtRisk_FitDataRange_FIT_8BCD5_E403E" hidden="1">'Area 3'!$O$21:$O$140</definedName>
    <definedName name="_AtRisk_FitDataRange_FIT_9DC4D_E81C1" hidden="1">'Area 6'!$K$10:$K$40</definedName>
    <definedName name="_AtRisk_FitDataRange_FIT_9FF86_25871" hidden="1">'Area 2'!$S$28:$S$118</definedName>
    <definedName name="_AtRisk_FitDataRange_FIT_A7669_1C705" hidden="1">'Area 5'!$Q$10:$Q$34</definedName>
    <definedName name="_AtRisk_FitDataRange_FIT_AC069_44485" hidden="1">'Area 2'!$J$23:$J$77</definedName>
    <definedName name="_AtRisk_FitDataRange_FIT_B184D_227CD" hidden="1">'Area 6'!$K$10:$K$40</definedName>
    <definedName name="_AtRisk_FitDataRange_FIT_B596C_C2A3C" hidden="1">'Area 2'!$P$28:$P$129</definedName>
    <definedName name="_AtRisk_FitDataRange_FIT_BCA9A_78EFB" hidden="1">'Area 2'!$J$79:$J$125</definedName>
    <definedName name="_AtRisk_FitDataRange_FIT_C4FF5_B270A" hidden="1">'Area 2'!$K$23:$K$36</definedName>
    <definedName name="_AtRisk_FitDataRange_FIT_C573A_201E3" hidden="1">'Area 6'!$N$10:$N$39</definedName>
    <definedName name="_AtRisk_FitDataRange_FIT_C7BF5_D889" hidden="1">'Area 4'!$P$14:$P$19</definedName>
    <definedName name="_AtRisk_FitDataRange_FIT_CCFA5_E01DE" hidden="1">'Area 1'!$N$7:$N$63</definedName>
    <definedName name="_AtRisk_FitDataRange_FIT_E1424_4266A" hidden="1">'Area 2'!$B$7:$B$61</definedName>
    <definedName name="_AtRisk_FitDataRange_FIT_E1DE9_29346" hidden="1">'Area 4'!$O$14:$O$203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25725"/>
</workbook>
</file>

<file path=xl/calcChain.xml><?xml version="1.0" encoding="utf-8"?>
<calcChain xmlns="http://schemas.openxmlformats.org/spreadsheetml/2006/main">
  <c r="C11" i="7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M14" i="8"/>
  <c r="M13"/>
  <c r="B11" i="2"/>
  <c r="F20" i="8"/>
  <c r="F28"/>
  <c r="C38"/>
  <c r="G36"/>
  <c r="F44"/>
  <c r="H37" i="10"/>
  <c r="H38"/>
  <c r="H39"/>
  <c r="H41"/>
  <c r="H42"/>
  <c r="H43"/>
  <c r="G38"/>
  <c r="G39"/>
  <c r="G41"/>
  <c r="G42"/>
  <c r="G43"/>
  <c r="G37"/>
  <c r="G35"/>
  <c r="F4" i="8"/>
  <c r="F12"/>
  <c r="H28" i="10"/>
  <c r="H29"/>
  <c r="G28"/>
  <c r="G29"/>
  <c r="H27"/>
  <c r="G27"/>
  <c r="G23"/>
  <c r="H25"/>
  <c r="H24"/>
  <c r="H23"/>
  <c r="G25"/>
  <c r="G24"/>
  <c r="G21"/>
  <c r="H50" i="8"/>
  <c r="G6" i="10"/>
  <c r="G13"/>
  <c r="G14"/>
  <c r="H13"/>
  <c r="H14"/>
  <c r="H12"/>
  <c r="G12"/>
  <c r="H9"/>
  <c r="H10"/>
  <c r="G9"/>
  <c r="G10"/>
  <c r="H8"/>
  <c r="G8"/>
  <c r="C44" i="8"/>
  <c r="L4" i="6"/>
  <c r="P4"/>
  <c r="F38" i="8"/>
  <c r="C36"/>
  <c r="O6" i="5"/>
  <c r="S4"/>
  <c r="O4"/>
  <c r="M11" i="4"/>
  <c r="E18" i="8"/>
  <c r="I19"/>
  <c r="E2"/>
  <c r="R17" i="1"/>
  <c r="F4"/>
  <c r="O11" i="4"/>
  <c r="W14" i="1"/>
  <c r="W22" i="4"/>
  <c r="W23"/>
  <c r="W19"/>
  <c r="W20"/>
  <c r="W16"/>
  <c r="V14"/>
  <c r="Q13" i="1"/>
  <c r="Q15"/>
  <c r="P26"/>
  <c r="V21"/>
  <c r="V22"/>
  <c r="V23"/>
  <c r="V24"/>
  <c r="V25"/>
  <c r="V26"/>
  <c r="V27"/>
  <c r="V28"/>
  <c r="V29"/>
  <c r="V30"/>
  <c r="V31"/>
  <c r="V32"/>
  <c r="V33"/>
  <c r="V34"/>
  <c r="V35"/>
  <c r="V20"/>
  <c r="I3"/>
  <c r="C201" i="4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4"/>
  <c r="C275"/>
  <c r="C276"/>
  <c r="C277"/>
  <c r="C278"/>
  <c r="C279"/>
  <c r="C280"/>
  <c r="C281"/>
  <c r="C282"/>
  <c r="C283"/>
  <c r="M11" i="6"/>
  <c r="L10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8"/>
  <c r="H7"/>
  <c r="F7"/>
  <c r="F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8"/>
  <c r="B7"/>
  <c r="R6" i="5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7"/>
  <c r="K6"/>
  <c r="F13"/>
  <c r="G8"/>
  <c r="G9"/>
  <c r="G10"/>
  <c r="G7"/>
  <c r="G6"/>
  <c r="E8"/>
  <c r="E9"/>
  <c r="E10"/>
  <c r="E11"/>
  <c r="E7"/>
  <c r="E6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7"/>
  <c r="C6"/>
  <c r="T247" i="4"/>
  <c r="U17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160"/>
  <c r="J8"/>
  <c r="J9"/>
  <c r="J10"/>
  <c r="J11"/>
  <c r="J12"/>
  <c r="J13"/>
  <c r="J14"/>
  <c r="J15"/>
  <c r="J16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7"/>
  <c r="G13"/>
  <c r="G14"/>
  <c r="G12"/>
  <c r="G11"/>
  <c r="G9"/>
  <c r="G8"/>
  <c r="G7"/>
  <c r="E13"/>
  <c r="E11"/>
  <c r="E12"/>
  <c r="E10"/>
  <c r="E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159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3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7"/>
  <c r="P3" i="3"/>
  <c r="T4"/>
  <c r="M14"/>
  <c r="N13"/>
  <c r="N12"/>
  <c r="N14"/>
  <c r="G91"/>
  <c r="G90"/>
  <c r="E13"/>
  <c r="E12"/>
  <c r="E11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04"/>
  <c r="C105"/>
  <c r="C106"/>
  <c r="C107"/>
  <c r="C98"/>
  <c r="C99"/>
  <c r="C100"/>
  <c r="C101"/>
  <c r="C102"/>
  <c r="C103"/>
  <c r="C93"/>
  <c r="C94"/>
  <c r="C95"/>
  <c r="C96"/>
  <c r="C97"/>
  <c r="C92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34"/>
  <c r="J31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6"/>
  <c r="G7"/>
  <c r="G8"/>
  <c r="G6"/>
  <c r="E7"/>
  <c r="E8"/>
  <c r="E6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6"/>
  <c r="T5" i="1"/>
  <c r="V10" i="2"/>
  <c r="O6"/>
  <c r="W10"/>
  <c r="P6"/>
  <c r="X10"/>
  <c r="U10"/>
  <c r="M2"/>
  <c r="O2"/>
  <c r="M10"/>
  <c r="O10"/>
  <c r="Y6"/>
  <c r="W6"/>
  <c r="AA7"/>
  <c r="V6"/>
  <c r="U6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7"/>
  <c r="B22"/>
  <c r="Q11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58"/>
  <c r="F27"/>
  <c r="F26"/>
  <c r="F25"/>
  <c r="F24"/>
  <c r="F23"/>
  <c r="D24"/>
  <c r="D25"/>
  <c r="D26"/>
  <c r="D27"/>
  <c r="D28"/>
  <c r="D29"/>
  <c r="D23"/>
  <c r="Q3"/>
  <c r="B61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7"/>
  <c r="F8"/>
  <c r="F9"/>
  <c r="F10"/>
  <c r="F11"/>
  <c r="F12"/>
  <c r="F13"/>
  <c r="F14"/>
  <c r="F15"/>
  <c r="F16"/>
  <c r="F17"/>
  <c r="F18"/>
  <c r="F19"/>
  <c r="F20"/>
  <c r="F7"/>
  <c r="D8"/>
  <c r="D9"/>
  <c r="D10"/>
  <c r="D11"/>
  <c r="D12"/>
  <c r="D13"/>
  <c r="D14"/>
  <c r="D15"/>
  <c r="D16"/>
  <c r="D17"/>
  <c r="D18"/>
  <c r="D19"/>
  <c r="D20"/>
  <c r="D7"/>
  <c r="B8"/>
  <c r="B9"/>
  <c r="B10"/>
  <c r="B12"/>
  <c r="B13"/>
  <c r="B14"/>
  <c r="B15"/>
  <c r="B16"/>
  <c r="B17"/>
  <c r="B18"/>
  <c r="B19"/>
  <c r="B20"/>
  <c r="B21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59" i="1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58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39"/>
  <c r="F29"/>
  <c r="F30"/>
  <c r="F31"/>
  <c r="F32"/>
  <c r="F33"/>
  <c r="F34"/>
  <c r="F35"/>
  <c r="F28"/>
  <c r="D26"/>
  <c r="D27"/>
  <c r="D28"/>
  <c r="D29"/>
  <c r="D30"/>
  <c r="D31"/>
  <c r="D32"/>
  <c r="D25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F15"/>
  <c r="F16"/>
  <c r="F17"/>
  <c r="F18"/>
  <c r="F19"/>
  <c r="F20"/>
  <c r="F21"/>
  <c r="F22"/>
  <c r="F23"/>
  <c r="F24"/>
  <c r="F25"/>
  <c r="D13"/>
  <c r="D14"/>
  <c r="D15"/>
  <c r="D16"/>
  <c r="D17"/>
  <c r="D18"/>
  <c r="D19"/>
  <c r="D20"/>
  <c r="D21"/>
  <c r="D22"/>
  <c r="H12"/>
  <c r="H13"/>
  <c r="H8"/>
  <c r="H9"/>
  <c r="H10"/>
  <c r="H11"/>
  <c r="H7"/>
  <c r="F8"/>
  <c r="F9"/>
  <c r="F10"/>
  <c r="F11"/>
  <c r="F12"/>
  <c r="F13"/>
  <c r="F14"/>
  <c r="F7"/>
  <c r="D8"/>
  <c r="D9"/>
  <c r="D10"/>
  <c r="D11"/>
  <c r="D12"/>
  <c r="D7"/>
  <c r="B7"/>
  <c r="B8"/>
  <c r="B9"/>
  <c r="B10"/>
  <c r="B11"/>
  <c r="B24"/>
  <c r="B25"/>
  <c r="B26"/>
  <c r="B13"/>
  <c r="B14"/>
  <c r="B15"/>
  <c r="B16"/>
  <c r="B17"/>
  <c r="B18"/>
  <c r="B19"/>
  <c r="B20"/>
  <c r="B21"/>
  <c r="B22"/>
  <c r="B23"/>
  <c r="B12"/>
  <c r="J17" i="4"/>
  <c r="J18"/>
  <c r="J19"/>
  <c r="C47" i="3"/>
  <c r="C48"/>
  <c r="C49"/>
  <c r="C50"/>
  <c r="C51"/>
</calcChain>
</file>

<file path=xl/sharedStrings.xml><?xml version="1.0" encoding="utf-8"?>
<sst xmlns="http://schemas.openxmlformats.org/spreadsheetml/2006/main" count="837" uniqueCount="295">
  <si>
    <t>Area 1</t>
  </si>
  <si>
    <t>spaces available</t>
  </si>
  <si>
    <t>spaces taken at time 0</t>
  </si>
  <si>
    <t>Time starts:</t>
  </si>
  <si>
    <t>2:30pm</t>
  </si>
  <si>
    <t>car arrives</t>
  </si>
  <si>
    <t>car parks</t>
  </si>
  <si>
    <t>car parked leaves</t>
  </si>
  <si>
    <t>car leaves</t>
  </si>
  <si>
    <t>interarrival</t>
  </si>
  <si>
    <t>is Clock reset</t>
  </si>
  <si>
    <t>4:02pm</t>
  </si>
  <si>
    <t>Area 2</t>
  </si>
  <si>
    <t>Available spots</t>
  </si>
  <si>
    <t>spots taken</t>
  </si>
  <si>
    <t>Car arrives</t>
  </si>
  <si>
    <t>Car parks</t>
  </si>
  <si>
    <t>Car parked leaves</t>
  </si>
  <si>
    <t>Car leaves</t>
  </si>
  <si>
    <t>no park</t>
  </si>
  <si>
    <t>calculated arrivals</t>
  </si>
  <si>
    <t>parks</t>
  </si>
  <si>
    <t>park leave</t>
  </si>
  <si>
    <t>leaves</t>
  </si>
  <si>
    <t>total</t>
  </si>
  <si>
    <t>number of missing arrival times</t>
  </si>
  <si>
    <t>human error</t>
  </si>
  <si>
    <t>CLOCK 1</t>
  </si>
  <si>
    <t>no parks</t>
  </si>
  <si>
    <t>number of missing arivals</t>
  </si>
  <si>
    <t>CLOCK 2</t>
  </si>
  <si>
    <t>num cars</t>
  </si>
  <si>
    <t>CONVERSION IN SECONDS FOR INTERARRIVAL RATES</t>
  </si>
  <si>
    <t>Created By Version</t>
  </si>
  <si>
    <t>6.3.1</t>
  </si>
  <si>
    <t>Required Version</t>
  </si>
  <si>
    <t>5.0.0</t>
  </si>
  <si>
    <t>Recommended Version</t>
  </si>
  <si>
    <t>Modified By Version</t>
  </si>
  <si>
    <t>Count</t>
  </si>
  <si>
    <t>GUID</t>
  </si>
  <si>
    <t>Name</t>
  </si>
  <si>
    <t>Range</t>
  </si>
  <si>
    <t>CRC</t>
  </si>
  <si>
    <t>Options</t>
  </si>
  <si>
    <t>Comp. Graph Serialization</t>
  </si>
  <si>
    <t>PP Graph Serialization</t>
  </si>
  <si>
    <t>QQ Graph Serialization</t>
  </si>
  <si>
    <t>Unsued</t>
  </si>
  <si>
    <t>Fixed Params</t>
  </si>
  <si>
    <t>Bootstrap Options</t>
  </si>
  <si>
    <t>BootstrapParamGraphSerialization</t>
  </si>
  <si>
    <t>BatchFit Options</t>
  </si>
  <si>
    <t>BootstrapGOFGraphSerialization</t>
  </si>
  <si>
    <t>FitSelector</t>
  </si>
  <si>
    <t>FIT_E1424_4266A</t>
  </si>
  <si>
    <t>interarrival Car Arives</t>
  </si>
  <si>
    <t>F1	0	0	-1E+300	 1E+300	 1	0	0	 0	0	 1	23	BetaGeneral	Binomial	Expon	ExtValue	ExtValueMin	Gamma	Geomet	IntUniform	InvGauss	Laplace	Levy	Logistic	LogLogistic	Lognorm	NegBin	Normal	Pareto	Pearson5	Pearson6	Poisson	Triang	Uniform	Weibull	0	1	-1	1	 0	 1	0	0	0</t>
  </si>
  <si>
    <t xml:space="preserve"> 0	 8								</t>
  </si>
  <si>
    <t>F1	0	 1000	 .95</t>
  </si>
  <si>
    <t>GF1_rK0qDwEADgDIAQwjACYANACOAKIAowCxAL8AogHEAb4BKgD//wAAAAAAAQQAAAAAAAAAAAEqRml0IENvbXBhcmlzb24gZm9yIGludGVyYXJyaXZhbCBDYXIgQXJpdmVzASpSaXNrRXhwb24oMC4wMzE2NTQsUmlza1NoaWZ0KC0wLjAwMDU3NTUzKSkBARAAAgABClN0YXRpc3RpY3MDAQEA/wEBAQEBAAEBAQAEAAAAAQEBAQEAAQEBAAQAAAAK3gAB7AAA+gAADwEAJAEAOQEATgEAYwEAeAEAjQEADAAFSW5wdXQAACUBAgAMAAVFeHBvbgABLwECABMADFVudXNlZCBDdXJ2ZQACTwECABMADFVudXNlZCBDdXJ2ZQADjAECABMADFVudXNlZCBDdXJ2ZQAETAECABMADFVudXNlZCBDdXJ2ZQAFOQECABMADFVudXNlZCBDdXJ2ZQAGTgECABMADFVudXNlZCBDdXJ2ZQAHIwECABMADFVudXNlZCBDdXJ2ZQAIKQECABMADFVudXNlZCBDdXJ2ZQAJYAECAKoBtAEBAQIBmpmZmZmZqT8AAGZmZmZmZu4/AAAFAAEBAQABAQEA</t>
  </si>
  <si>
    <t>interarrival car arrive</t>
  </si>
  <si>
    <t>interarrival park time</t>
  </si>
  <si>
    <t>interarrival park leave</t>
  </si>
  <si>
    <t>interarrival dist in second</t>
  </si>
  <si>
    <t>interarrival dist in seconds</t>
  </si>
  <si>
    <t>EXP: mean 44.75</t>
  </si>
  <si>
    <t>EXP: mean 84.13</t>
  </si>
  <si>
    <t>EXP: 141.31</t>
  </si>
  <si>
    <t>EXP: 48.32</t>
  </si>
  <si>
    <t>FIT_AC069_44485</t>
  </si>
  <si>
    <t>GF1_rK0qDwEADgDDAQwjACYANACJAJ0AngCsALoAnQG/AbkBKgD//wAAAAAAAQQAAAAAAAAAAAEqRml0IENvbXBhcmlzb24gZm9yIGludGVyYXJyaXZhbCBjYXIgYXJyaXZlASVSaXNrRXhwb24oNDUuNTgyLFJpc2tTaGlmdCgtMC44Mjg3NikpAQEQAAIAAQpTdGF0aXN0aWNzAwEBAP8BAQEBAQABAQEABAAAAAEBAQEBAAEBAQAEAAAACtkAAecAAPUAAAoBAB8BADQBAEkBAF4BAHMBAIgBAAwABUlucHV0AAAlAQIADAAFRXhwb24AAS8BAgATAAxVbnVzZWQgQ3VydmUAAk8BAgATAAxVbnVzZWQgQ3VydmUAA4wBAgATAAxVbnVzZWQgQ3VydmUABEwBAgATAAxVbnVzZWQgQ3VydmUABTkBAgATAAxVbnVzZWQgQ3VydmUABk4BAgATAAxVbnVzZWQgQ3VydmUAByMBAgATAAxVbnVzZWQgQ3VydmUACCkBAgATAAxVbnVzZWQgQ3VydmUACWABAgClAa8BAQECAZqZmZmZmak/AABmZmZmZmbuPwAABQABAQEAAQEBAA==</t>
  </si>
  <si>
    <t>FIT_C4FF5_B270A</t>
  </si>
  <si>
    <t>GF1_rK0qDwEADgDDAQwjACYANACJAJ0AngCsALoAnQG/AbkBKgD//wAAAAAAAQQAAAAAAAAAAAEpRml0IENvbXBhcmlzb24gZm9yIGludGVyYXJyaXZhbCBwYXJrIHRpbWUBJlJpc2tFeHBvbig4NC4xNDMsUmlza1NoaWZ0KC0wLjAxMDIwNCkpAQEQAAIAAQpTdGF0aXN0aWNzAwEBAP8BAQEBAQABAQEABAAAAAEBAQEBAAEBAQAEAAAACtkAAecAAPUAAAoBAB8BADQBAEkBAF4BAHMBAIgBAAwABUlucHV0AAAlAQIADAAFRXhwb24AAS8BAgATAAxVbnVzZWQgQ3VydmUAAk8BAgATAAxVbnVzZWQgQ3VydmUAA4wBAgATAAxVbnVzZWQgQ3VydmUABEwBAgATAAxVbnVzZWQgQ3VydmUABTkBAgATAAxVbnVzZWQgQ3VydmUABk4BAgATAAxVbnVzZWQgQ3VydmUAByMBAgATAAxVbnVzZWQgQ3VydmUACCkBAgATAAxVbnVzZWQgQ3VydmUACWABAgClAa8BAQECAZqZmZmZmak/AABmZmZmZmbuPwAABQABAQEAAQEBAA==</t>
  </si>
  <si>
    <t>FIT_7BEC_B0365</t>
  </si>
  <si>
    <t>GF1_rK0qDwEADgDCAQwjACYANACIAJwAnQCrALkAnAG+AbgBKgD//wAAAAAAAQQAAAAAAAAAAAEqRml0IENvbXBhcmlzb24gZm9yIGludGVyYXJyaXZhbCBwYXJrIGxlYXZlASRSaXNrRXhwb24oMTQzLjU3LFJpc2tTaGlmdCgtMi4yNTUxKSkBARAAAgABClN0YXRpc3RpY3MDAQEA/wEBAQEBAAEBAQAEAAAAAQEBAQEAAQEBAAQAAAAK2AAB5gAA9AAACQEAHgEAMwEASAEAXQEAcgEAhwEADAAFSW5wdXQAACUBAgAMAAVFeHBvbgABLwECABMADFVudXNlZCBDdXJ2ZQACTwECABMADFVudXNlZCBDdXJ2ZQADjAECABMADFVudXNlZCBDdXJ2ZQAETAECABMADFVudXNlZCBDdXJ2ZQAFOQECABMADFVudXNlZCBDdXJ2ZQAGTgECABMADFVudXNlZCBDdXJ2ZQAHIwECABMADFVudXNlZCBDdXJ2ZQAIKQECABMADFVudXNlZCBDdXJ2ZQAJYAECAKQBrgEBAQIBmpmZmZmZqT8AAGZmZmZmZu4/AAAFAAEBAQABAQEA</t>
  </si>
  <si>
    <t>FIT_1BA89_E8002</t>
  </si>
  <si>
    <t>GF1_rK0qDwEADgC0AQwjACYANAB6AI4AjwCdAKsAjgGwAaoBKgD//wAAAAAAAQQAAAAAAAAAAAEdRml0IENvbXBhcmlzb24gZm9yIENhciBsZWF2ZXMBI1Jpc2tFeHBvbig0Ni4yNjUsUmlza1NoaWZ0KDIuMDU1OCkpAQEQAAIAAQpTdGF0aXN0aWNzAwEBAP8BAQEBAQABAQEABAAAAAEBAQEBAAEBAQAEAAAACsoAAdgAAOYAAPsAABABACUBADoBAE8BAGQBAHkBAAwABUlucHV0AAAlAQIADAAFRXhwb24AAS8BAgATAAxVbnVzZWQgQ3VydmUAAk8BAgATAAxVbnVzZWQgQ3VydmUAA4wBAgATAAxVbnVzZWQgQ3VydmUABEwBAgATAAxVbnVzZWQgQ3VydmUABTkBAgATAAxVbnVzZWQgQ3VydmUABk4BAgATAAxVbnVzZWQgQ3VydmUAByMBAgATAAxVbnVzZWQgQ3VydmUACCkBAgATAAxVbnVzZWQgQ3VydmUACWABAgCWAaABAQECAZqZmZmZmak/AABmZmZmZmbuPwAABQABAQEAAQEBAA==</t>
  </si>
  <si>
    <t>GAMMA: a=1.348, b=26.466</t>
  </si>
  <si>
    <t>EXP: 192.63</t>
  </si>
  <si>
    <t>FIT_BCA9A_78EFB</t>
  </si>
  <si>
    <t>Car arrives interarrival 2</t>
  </si>
  <si>
    <t>GF1_rK0qDwEADgDMAQwjACYANACSAKYApwC1AMMApgHIAcIBKgD//wAAAAAAAQQAAAAAAAAAAAEtRml0IENvbXBhcmlzb24gZm9yIENhciBhcnJpdmVzIGludGVyYXJyaXZhbCAyAStSaXNrR2FtbWEoMS4zNDE4LDI2LjQ2NixSaXNrU2hpZnQoMC41OTMyNCkpAQEQAAIAAQpTdGF0aXN0aWNzAwEBAP8BAQEBAQABAQEABAAAAAEBAQEBAAEBAQAEAAAACuIAAfAAAP4AABMBACgBAD0BAFIBAGcBAHwBAJEBAAwABUlucHV0AAAlAQIADAAFR2FtbWEAAS8BAgATAAxVbnVzZWQgQ3VydmUAAk8BAgATAAxVbnVzZWQgQ3VydmUAA4wBAgATAAxVbnVzZWQgQ3VydmUABEwBAgATAAxVbnVzZWQgQ3VydmUABTkBAgATAAxVbnVzZWQgQ3VydmUABk4BAgATAAxVbnVzZWQgQ3VydmUAByMBAgATAAxVbnVzZWQgQ3VydmUACCkBAgATAAxVbnVzZWQgQ3VydmUACWABAgCuAbgBAQECAZqZmZmZmak/AABmZmZmZmbuPwAABQABAQEAAQEBAA==</t>
  </si>
  <si>
    <t>FIT_139B2_A841A</t>
  </si>
  <si>
    <t>Dataset 1</t>
  </si>
  <si>
    <t>GF1_rK0qDwEADgC0AQwjACYANAB6AI4AjwCdAKsAjgGwAaoBKgD//wAAAAAAAQQAAAAAAAAAAAEcRml0IENvbXBhcmlzb24gZm9yIERhdGFzZXQgMQEkUmlza0V4cG9uKDIyMy41NyxSaXNrU2hpZnQoLTMwLjkzOSkpAQEQAAIAAQpTdGF0aXN0aWNzAwEBAP8BAQEBAQABAQEABAAAAAEBAQEBAAEBAQAEAAAACsoAAdgAAOYAAPsAABABACUBADoBAE8BAGQBAHkBAAwABUlucHV0AAAlAQIADAAFRXhwb24AAS8BAgATAAxVbnVzZWQgQ3VydmUAAk8BAgATAAxVbnVzZWQgQ3VydmUAA4wBAgATAAxVbnVzZWQgQ3VydmUABEwBAgATAAxVbnVzZWQgQ3VydmUABTkBAgATAAxVbnVzZWQgQ3VydmUABk4BAgATAAxVbnVzZWQgQ3VydmUAByMBAgATAAxVbnVzZWQgQ3VydmUACCkBAgATAAxVbnVzZWQgQ3VydmUACWABAgCWAaABAQECAZqZmZmZmak/AABmZmZmZmbuPwAABQABAQEAAQEBAA==</t>
  </si>
  <si>
    <t>EXP: 164.56</t>
  </si>
  <si>
    <t>EXP: 3872</t>
  </si>
  <si>
    <t>CLOCK 1 and 2</t>
  </si>
  <si>
    <t>number of missing arrivals</t>
  </si>
  <si>
    <t>error</t>
  </si>
  <si>
    <t>a</t>
  </si>
  <si>
    <t>p</t>
  </si>
  <si>
    <t>pl</t>
  </si>
  <si>
    <t>l</t>
  </si>
  <si>
    <t>EXP: 128.57 RS: -5.3787</t>
  </si>
  <si>
    <t>GAMMA: a:1.1387, b:36.272, RS: -.086881</t>
  </si>
  <si>
    <t>EXP: 154.64, RS(-.1468)</t>
  </si>
  <si>
    <t>EXP: 44.34 RS(1.5295)</t>
  </si>
  <si>
    <t>INITIAL STATE</t>
  </si>
  <si>
    <t>FIT_33D58_C054C</t>
  </si>
  <si>
    <t>interarrival park leave clock 2</t>
  </si>
  <si>
    <t>GF1_rK0qDwEADgDJAQwjACYANACPAKMApACyAMAAowHFAb8BKgD//wAAAAAAAQQAAAAAAAAAAAEyRml0IENvbXBhcmlzb24gZm9yIGludGVyYXJyaXZhbCBwYXJrIGxlYXZlIGNsb2NrIDIBI1Jpc2tFeHBvbigxNDguMjAsUmlza1NoaWZ0KDE2LjM2MCkpAQEQAAIAAQpTdGF0aXN0aWNzAwEBAP8BAQEBAQABAQEABAAAAAEBAQEBAAEBAQAEAAAACt8AAe0AAPsAABABACUBADoBAE8BAGQBAHkBAI4BAAwABUlucHV0AAAlAQIADAAFRXhwb24AAS8BAgATAAxVbnVzZWQgQ3VydmUAAk8BAgATAAxVbnVzZWQgQ3VydmUAA4wBAgATAAxVbnVzZWQgQ3VydmUABEwBAgATAAxVbnVzZWQgQ3VydmUABTkBAgATAAxVbnVzZWQgQ3VydmUABk4BAgATAAxVbnVzZWQgQ3VydmUAByMBAgATAAxVbnVzZWQgQ3VydmUACCkBAgATAAxVbnVzZWQgQ3VydmUACWABAgCrAbUBAQECAZqZmZmZmak/AABmZmZmZmbuPwAABQABAQEAAQEBAA==</t>
  </si>
  <si>
    <t>FIT_42930_2D9AF</t>
  </si>
  <si>
    <t>interarrival leave clock 2</t>
  </si>
  <si>
    <t>GF1_rK0qDwEADgDEAQwjACYANACKAJ4AnwCtALsAngHAAboBKgD//wAAAAAAAQQAAAAAAAAAAAEtRml0IENvbXBhcmlzb24gZm9yIGludGVyYXJyaXZhbCBsZWF2ZSBjbG9jayAyASNSaXNrRXhwb24oMzcuNjE5LFJpc2tTaGlmdCgxLjEwNDMpKQEBEAACAAEKU3RhdGlzdGljcwMBAQD/AQEBAQEAAQEBAAQAAAABAQEBAQABAQEABAAAAAraAAHoAAD2AAALAQAgAQA1AQBKAQBfAQB0AQCJAQAMAAVJbnB1dAAAJQECAAwABUV4cG9uAAEvAQIAEwAMVW51c2VkIEN1cnZlAAJPAQIAEwAMVW51c2VkIEN1cnZlAAOMAQIAEwAMVW51c2VkIEN1cnZlAARMAQIAEwAMVW51c2VkIEN1cnZlAAU5AQIAEwAMVW51c2VkIEN1cnZlAAZOAQIAEwAMVW51c2VkIEN1cnZlAAcjAQIAEwAMVW51c2VkIEN1cnZlAAgpAQIAEwAMVW51c2VkIEN1cnZlAAlgAQIApgGwAQEBAgGamZmZmZmpPwAAZmZmZmZm7j8AAAUAAQEBAAEBAQA=</t>
  </si>
  <si>
    <t>FIT_B596C_C2A3C</t>
  </si>
  <si>
    <t>arrives area 2</t>
  </si>
  <si>
    <t>GF1_rK0qDwEADgDCAQwjACYANACIAJwAnQCrALkAnAG+AbgBKgD//wAAAAAAAQQAAAAAAAAAAAEhRml0IENvbXBhcmlzb24gZm9yIGFycml2ZXMgYXJlYSAyAS1SaXNrR2FtbWEoMS4xMzg3LDM2LjI3MixSaXNrU2hpZnQoLTAuMDg2ODgxKSkBARAAAgABClN0YXRpc3RpY3MDAQEA/wEBAQEBAAEBAQAEAAAAAQEBAQEAAQEBAAQAAAAK2AAB5gAA9AAACQEAHgEAMwEASAEAXQEAcgEAhwEADAAFSW5wdXQAACUBAgAMAAVHYW1tYQABLwECABMADFVudXNlZCBDdXJ2ZQACTwECABMADFVudXNlZCBDdXJ2ZQADjAECABMADFVudXNlZCBDdXJ2ZQAETAECABMADFVudXNlZCBDdXJ2ZQAFOQECABMADFVudXNlZCBDdXJ2ZQAGTgECABMADFVudXNlZCBDdXJ2ZQAHIwECABMADFVudXNlZCBDdXJ2ZQAIKQECABMADFVudXNlZCBDdXJ2ZQAJYAECAKQBrgEBAQIBmpmZmZmZqT8AAGZmZmZmZu4/AAAFAAEBAQABAQEA</t>
  </si>
  <si>
    <t>FIT_4133E_A09E</t>
  </si>
  <si>
    <t>GF1_rK0qDwEADgCsAQwjACYANAByAIYAhwCVAKMAhgGoAaIBKgD//wAAAAAAAQQAAAAAAAAAAAEURml0IENvbXBhcmlzb24gZm9yIHABJFJpc2tFeHBvbigxMzMuOTUsUmlza1NoaWZ0KC01LjM3ODcpKQEBEAACAAEKU3RhdGlzdGljcwMBAQD/AQEBAQEAAQEBAAQAAAABAQEBAQABAQEABAAAAArCAAHQAADeAADzAAAIAQAdAQAyAQBHAQBcAQBxAQAMAAVJbnB1dAAAJQECAAwABUV4cG9uAAEvAQIAEwAMVW51c2VkIEN1cnZlAAJPAQIAEwAMVW51c2VkIEN1cnZlAAOMAQIAEwAMVW51c2VkIEN1cnZlAARMAQIAEwAMVW51c2VkIEN1cnZlAAU5AQIAEwAMVW51c2VkIEN1cnZlAAZOAQIAEwAMVW51c2VkIEN1cnZlAAcjAQIAEwAMVW51c2VkIEN1cnZlAAgpAQIAEwAMVW51c2VkIEN1cnZlAAlgAQIAjgGYAQEBAgGamZmZmZmpPwAAZmZmZmZm7j8AAAUAAQEBAAEBAQA=</t>
  </si>
  <si>
    <t>FIT_6C853_422FB</t>
  </si>
  <si>
    <t>park leave area 2</t>
  </si>
  <si>
    <t>GF1_rK0qDwEADgC9AQwjACYANACDAJcAmACmALQAlwG5AbMBKgD//wAAAAAAAQQAAAAAAAAAAAEkRml0IENvbXBhcmlzb24gZm9yIHBhcmsgbGVhdmUgYXJlYSAyASVSaXNrRXhwb24oMTU0Ljc5LFJpc2tTaGlmdCgtMC4xNDY4MSkpAQEQAAIAAQpTdGF0aXN0aWNzAwEBAP8BAQEBAQABAQEABAAAAAEBAQEBAAEBAQAEAAAACtMAAeEAAO8AAAQBABkBAC4BAEMBAFgBAG0BAIIBAAwABUlucHV0AAAlAQIADAAFRXhwb24AAS8BAgATAAxVbnVzZWQgQ3VydmUAAk8BAgATAAxVbnVzZWQgQ3VydmUAA4wBAgATAAxVbnVzZWQgQ3VydmUABEwBAgATAAxVbnVzZWQgQ3VydmUABTkBAgATAAxVbnVzZWQgQ3VydmUABk4BAgATAAxVbnVzZWQgQ3VydmUAByMBAgATAAxVbnVzZWQgQ3VydmUACCkBAgATAAxVbnVzZWQgQ3VydmUACWABAgCfAakBAQECAZqZmZmZmak/AABmZmZmZmbuPwAABQABAQEAAQEBAA==</t>
  </si>
  <si>
    <t>FIT_9FF86_25871</t>
  </si>
  <si>
    <t>leaves area 2</t>
  </si>
  <si>
    <t>GF1_rK0qDwEADgC3AQwjACYANAB9AJEAkgCgAK4AkQGzAa0BKgD//wAAAAAAAQQAAAAAAAAAAAEgRml0IENvbXBhcmlzb24gZm9yIGxlYXZlcyBhcmVhIDIBI1Jpc2tFeHBvbig0Mi44MTMsUmlza1NoaWZ0KDEuNTI5NSkpAQEQAAIAAQpTdGF0aXN0aWNzAwEBAP8BAQEBAQABAQEABAAAAAEBAQEBAAEBAQAEAAAACs0AAdsAAOkAAP4AABMBACgBAD0BAFIBAGcBAHwBAAwABUlucHV0AAAlAQIADAAFRXhwb24AAS8BAgATAAxVbnVzZWQgQ3VydmUAAk8BAgATAAxVbnVzZWQgQ3VydmUAA4wBAgATAAxVbnVzZWQgQ3VydmUABEwBAgATAAxVbnVzZWQgQ3VydmUABTkBAgATAAxVbnVzZWQgQ3VydmUABk4BAgATAAxVbnVzZWQgQ3VydmUAByMBAgATAAxVbnVzZWQgQ3VydmUACCkBAgATAAxVbnVzZWQgQ3VydmUACWABAgCZAaMBAQECAZqZmZmZmak/AABmZmZmZmbuPwAABQABAQEAAQEBAA==</t>
  </si>
  <si>
    <t>ar</t>
  </si>
  <si>
    <t>AREA 3</t>
  </si>
  <si>
    <t>spots:</t>
  </si>
  <si>
    <t>Occupied</t>
  </si>
  <si>
    <t>arrive</t>
  </si>
  <si>
    <t>interarrive</t>
  </si>
  <si>
    <t>park</t>
  </si>
  <si>
    <t>interpark</t>
  </si>
  <si>
    <t>leave</t>
  </si>
  <si>
    <t>interparkleave</t>
  </si>
  <si>
    <t>interleave</t>
  </si>
  <si>
    <t>FIT_45D05_533A4</t>
  </si>
  <si>
    <t>arrival area 1</t>
  </si>
  <si>
    <t>GF1_rK0qDwEADgC6AQwjACYANACAAJQAlQCjALEAlAG2AbABKgD//wAAAAAAAQQAAAAAAAAAAAEhRml0IENvbXBhcmlzb24gZm9yIGFycml2YWwgYXJlYSAxASVSaXNrRXhwb24oNjguNjA4LFJpc2tTaGlmdCgtMC44Njg0NSkpAQEQAAIAAQpTdGF0aXN0aWNzAwEBAP8BAQEBAQABAQEABAAAAAEBAQEBAAEBAQAEAAAACtAAAd4AAOwAAAEBABYBACsBAEABAFUBAGoBAH8BAAwABUlucHV0AAAlAQIADAAFRXhwb24AAS8BAgATAAxVbnVzZWQgQ3VydmUAAk8BAgATAAxVbnVzZWQgQ3VydmUAA4wBAgATAAxVbnVzZWQgQ3VydmUABEwBAgATAAxVbnVzZWQgQ3VydmUABTkBAgATAAxVbnVzZWQgQ3VydmUABk4BAgATAAxVbnVzZWQgQ3VydmUAByMBAgATAAxVbnVzZWQgQ3VydmUACCkBAgATAAxVbnVzZWQgQ3VydmUACWABAgCcAaYBAQECAZqZmZmZmak/AABmZmZmZmbuPwAABQABAQEAAQEBAA==</t>
  </si>
  <si>
    <t>FIT_4A6FF_AD9B2</t>
  </si>
  <si>
    <t>park area 1</t>
  </si>
  <si>
    <t>GF1_rK0qDwEADgC1AQwjACYANAB7AI8AkACeAKwAjwGxAasBKgD//wAAAAAAAQQAAAAAAAAAAAEeRml0IENvbXBhcmlzb24gZm9yIHBhcmsgYXJlYSAxASNSaXNrRXhwb24oMTgyLjQ2LFJpc2tTaGlmdCgxNi4zOTgpKQEBEAACAAEKU3RhdGlzdGljcwMBAQD/AQEBAQEAAQEBAAQAAAABAQEBAQABAQEABAAAAArLAAHZAADnAAD8AAARAQAmAQA7AQBQAQBlAQB6AQAMAAVJbnB1dAAAJQECAAwABUV4cG9uAAEvAQIAEwAMVW51c2VkIEN1cnZlAAJPAQIAEwAMVW51c2VkIEN1cnZlAAOMAQIAEwAMVW51c2VkIEN1cnZlAARMAQIAEwAMVW51c2VkIEN1cnZlAAU5AQIAEwAMVW51c2VkIEN1cnZlAAZOAQIAEwAMVW51c2VkIEN1cnZlAAcjAQIAEwAMVW51c2VkIEN1cnZlAAgpAQIAEwAMVW51c2VkIEN1cnZlAAlgAQIAlwGhAQEBAgGamZmZmZmpPwAAZmZmZmZm7j8AAAUAAQEBAAEBAQA=</t>
  </si>
  <si>
    <t>FIT_4FA9F_36591</t>
  </si>
  <si>
    <t>park leave area 1</t>
  </si>
  <si>
    <t>GF1_rK0qDwEADgC7AQwjACYANACBAJUAlgCkALIAlQG3AbEBKgD//wAAAAAAAQQAAAAAAAAAAAEkRml0IENvbXBhcmlzb24gZm9yIHBhcmsgbGVhdmUgYXJlYSAxASNSaXNrRXhwb24oMTU5Ljk2LFJpc2tTaGlmdCgyLjA3NTQpKQEBEAACAAEKU3RhdGlzdGljcwMBAQD/AQEBAQEAAQEBAAQAAAABAQEBAQABAQEABAAAAArRAAHfAADtAAACAQAXAQAsAQBBAQBWAQBrAQCAAQAMAAVJbnB1dAAAJQECAAwABUV4cG9uAAEvAQIAEwAMVW51c2VkIEN1cnZlAAJPAQIAEwAMVW51c2VkIEN1cnZlAAOMAQIAEwAMVW51c2VkIEN1cnZlAARMAQIAEwAMVW51c2VkIEN1cnZlAAU5AQIAEwAMVW51c2VkIEN1cnZlAAZOAQIAEwAMVW51c2VkIEN1cnZlAAcjAQIAEwAMVW51c2VkIEN1cnZlAAgpAQIAEwAMVW51c2VkIEN1cnZlAAlgAQIAnQGnAQEBAgGamZmZmZmpPwAAZmZmZmZm7j8AAAUAAQEBAAEBAQA=</t>
  </si>
  <si>
    <t>FIT_CCFA5_E01DE</t>
  </si>
  <si>
    <t>leaves Area 1</t>
  </si>
  <si>
    <t>GF1_rK0qDwEADgC3AQwjACYANAB9AJEAkgCgAK4AkQGzAa0BKgD//wAAAAAAAQQAAAAAAAAAAAEgRml0IENvbXBhcmlzb24gZm9yIGxlYXZlcyBBcmVhIDEBI1Jpc2tFeHBvbig3OS4wNzAsUmlza1NoaWZ0KDMuNjEyOCkpAQEQAAIAAQpTdGF0aXN0aWNzAwEBAP8BAQEBAQABAQEABAAAAAEBAQEBAAEBAQAEAAAACs0AAdsAAOkAAP4AABMBACgBAD0BAFIBAGcBAHwBAAwABUlucHV0AAAlAQIADAAFRXhwb24AAS8BAgATAAxVbnVzZWQgQ3VydmUAAk8BAgATAAxVbnVzZWQgQ3VydmUAA4wBAgATAAxVbnVzZWQgQ3VydmUABEwBAgATAAxVbnVzZWQgQ3VydmUABTkBAgATAAxVbnVzZWQgQ3VydmUABk4BAgATAAxVbnVzZWQgQ3VydmUAByMBAgATAAxVbnVzZWQgQ3VydmUACCkBAgATAAxVbnVzZWQgQ3VydmUACWABAgCZAaMBAQECAZqZmZmZmak/AABmZmZmZmbuPwAABQABAQEAAQEBAA==</t>
  </si>
  <si>
    <t xml:space="preserve"> </t>
  </si>
  <si>
    <t>clock 1</t>
  </si>
  <si>
    <t>clock 2</t>
  </si>
  <si>
    <t>tally</t>
  </si>
  <si>
    <t>arrivals</t>
  </si>
  <si>
    <t>201 uniform</t>
  </si>
  <si>
    <t>NORM:116.83,77.3928</t>
  </si>
  <si>
    <t>EXP: 11, RS(0.908333)</t>
  </si>
  <si>
    <t>EXP:13.778,RS(0.74486)</t>
  </si>
  <si>
    <t>Area 3</t>
  </si>
  <si>
    <t>FIT_8BCD5_E403E</t>
  </si>
  <si>
    <t>arrivals area 3</t>
  </si>
  <si>
    <t>GF1_rK0qDwEADgC6AQwjACYANACAAJQAlQCjALEAlAG2AbABKgD//wAAAAAAAQQAAAAAAAAAAAEiRml0IENvbXBhcmlzb24gZm9yIGFycml2YWxzIGFyZWEgMwEkUmlza0V4cG9uKDExLjAwMCxSaXNrU2hpZnQoMC45MDgzMykpAQEQAAIAAQpTdGF0aXN0aWNzAwEBAP8BAQEBAQABAQEABAAAAAEBAQEBAAEBAQAEAAAACtAAAd4AAOwAAAEBABYBACsBAEABAFUBAGoBAH8BAAwABUlucHV0AAAlAQIADAAFRXhwb24AAS8BAgATAAxVbnVzZWQgQ3VydmUAAk8BAgATAAxVbnVzZWQgQ3VydmUAA4wBAgATAAxVbnVzZWQgQ3VydmUABEwBAgATAAxVbnVzZWQgQ3VydmUABTkBAgATAAxVbnVzZWQgQ3VydmUABk4BAgATAAxVbnVzZWQgQ3VydmUAByMBAgATAAxVbnVzZWQgQ3VydmUACCkBAgATAAxVbnVzZWQgQ3VydmUACWABAgCcAaYBAQECAZqZmZmZmak/AABmZmZmZmbuPwAABQABAQEAAQEBAA==</t>
  </si>
  <si>
    <t>FIT_358F8_6583A</t>
  </si>
  <si>
    <t>park area 3</t>
  </si>
  <si>
    <t>GF1_rK0qDwEADgCtAQwjACYANAByAIYAhwCVAKMAhwGpAaMBKgD//wAAAAAAAQQAAAAAAAAAAAEeRml0IENvbXBhcmlzb24gZm9yIHBhcmsgYXJlYSAzARpSaXNrTm9ybWFsKDExNi44MzMsNzcuOTc4KQEBEAACAAEKU3RhdGlzdGljcwMBAQD/AQEBAQEAAQEBAAQAAAABAQEBAQABAQEABAAAAArCAAHQAADfAAD0AAAJAQAeAQAzAQBIAQBdAQByAQAMAAVJbnB1dAAAJQECAA0ABk5vcm1hbAABLwECABMADFVudXNlZCBDdXJ2ZQACTwECABMADFVudXNlZCBDdXJ2ZQADjAECABMADFVudXNlZCBDdXJ2ZQAETAECABMADFVudXNlZCBDdXJ2ZQAFOQECABMADFVudXNlZCBDdXJ2ZQAGTgECABMADFVudXNlZCBDdXJ2ZQAHIwECABMADFVudXNlZCBDdXJ2ZQAIKQECABMADFVudXNlZCBDdXJ2ZQAJYAECAI8BmQEBAQIBmpmZmZmZqT8AAGZmZmZmZu4/AAAFAAEBAQABAQEA</t>
  </si>
  <si>
    <t>FIT_761C2_52822</t>
  </si>
  <si>
    <t>leaves area 3</t>
  </si>
  <si>
    <t>GF1_rK0qDwEADgC4AQwjACYANAB+AJIAkwChAK8AkgG0Aa4BKgD//wAAAAAAAQQAAAAAAAAAAAEgRml0IENvbXBhcmlzb24gZm9yIGxlYXZlcyBhcmVhIDMBJFJpc2tFeHBvbigxMy43NzgsUmlza1NoaWZ0KDAuNzQ0ODYpKQEBEAACAAEKU3RhdGlzdGljcwMBAQD/AQEBAQEAAQEBAAQAAAABAQEBAQABAQEABAAAAArOAAHcAADqAAD/AAAUAQApAQA+AQBTAQBoAQB9AQAMAAVJbnB1dAAAJQECAAwABUV4cG9uAAEvAQIAEwAMVW51c2VkIEN1cnZlAAJPAQIAEwAMVW51c2VkIEN1cnZlAAOMAQIAEwAMVW51c2VkIEN1cnZlAARMAQIAEwAMVW51c2VkIEN1cnZlAAU5AQIAEwAMVW51c2VkIEN1cnZlAAZOAQIAEwAMVW51c2VkIEN1cnZlAAcjAQIAEwAMVW51c2VkIEN1cnZlAAgpAQIAEwAMVW51c2VkIEN1cnZlAAlgAQIAmgGkAQEBAgGamZmZmZmpPwAAZmZmZmZm7j8AAAUAAQEBAAEBAQA=</t>
  </si>
  <si>
    <t>AREA 4</t>
  </si>
  <si>
    <t>Spots</t>
  </si>
  <si>
    <t>Taken</t>
  </si>
  <si>
    <t>park leaves</t>
  </si>
  <si>
    <t>Area 4</t>
  </si>
  <si>
    <t>GAMMA: 4.7601, 1.4866, RS(-0.40248)</t>
  </si>
  <si>
    <t>EXP: 528.67 RS(-79.111)</t>
  </si>
  <si>
    <t>EXP: 321, RS(-6.8571)</t>
  </si>
  <si>
    <t>LOGNORM: 7.6860,7.0258, RS(0.49900)</t>
  </si>
  <si>
    <t>FIT_E1DE9_29346</t>
  </si>
  <si>
    <t>arrival area 4</t>
  </si>
  <si>
    <t>GF1_rK0qDwEADgDBAQwjACYANACHAJsAnACqALgAmwG9AbcBKgD//wAAAAAAAQQAAAAAAAAAAAEhRml0IENvbXBhcmlzb24gZm9yIGFycml2YWwgYXJlYSA0ASxSaXNrR2FtbWEoNC43NjAxLDEuNDg2NixSaXNrU2hpZnQoLTAuNDAyNDgpKQEBEAACAAEKU3RhdGlzdGljcwMBAQD/AQEBAQEAAQEBAAQAAAABAQEBAQABAQEABAAAAArXAAHlAADzAAAIAQAdAQAyAQBHAQBcAQBxAQCGAQAMAAVJbnB1dAAAJQECAAwABUdhbW1hAAEvAQIAEwAMVW51c2VkIEN1cnZlAAJPAQIAEwAMVW51c2VkIEN1cnZlAAOMAQIAEwAMVW51c2VkIEN1cnZlAARMAQIAEwAMVW51c2VkIEN1cnZlAAU5AQIAEwAMVW51c2VkIEN1cnZlAAZOAQIAEwAMVW51c2VkIEN1cnZlAAcjAQIAEwAMVW51c2VkIEN1cnZlAAgpAQIAEwAMVW51c2VkIEN1cnZlAAlgAQIAowGtAQEBAgGamZmZmZmpPwAAZmZmZmZm7j8AAAUAAQEBAAEBAQA=</t>
  </si>
  <si>
    <t>FIT_C7BF5_D889</t>
  </si>
  <si>
    <t>parks area 4</t>
  </si>
  <si>
    <t>GF1_rK0qDwEADgC3AQwjACYANAB9AJEAkgCgAK4AkQGzAa0BKgD//wAAAAAAAQQAAAAAAAAAAAEfRml0IENvbXBhcmlzb24gZm9yIHBhcmtzIGFyZWEgNAEkUmlza0V4cG9uKDUyOC42NyxSaXNrU2hpZnQoLTc5LjExMSkpAQEQAAIAAQpTdGF0aXN0aWNzAwEBAP8BAQEBAQABAQEABAAAAAEBAQEBAAEBAQAEAAAACs0AAdsAAOkAAP4AABMBACgBAD0BAFIBAGcBAHwBAAwABUlucHV0AAAlAQIADAAFRXhwb24AAS8BAgATAAxVbnVzZWQgQ3VydmUAAk8BAgATAAxVbnVzZWQgQ3VydmUAA4wBAgATAAxVbnVzZWQgQ3VydmUABEwBAgATAAxVbnVzZWQgQ3VydmUABTkBAgATAAxVbnVzZWQgQ3VydmUABk4BAgATAAxVbnVzZWQgQ3VydmUAByMBAgATAAxVbnVzZWQgQ3VydmUACCkBAgATAAxVbnVzZWQgQ3VydmUACWABAgCZAaMBAQECAZqZmZmZmak/AABmZmZmZmbuPwAABQABAQEAAQEBAA==</t>
  </si>
  <si>
    <t>FIT_886B1_9F792</t>
  </si>
  <si>
    <t>park leave area 4</t>
  </si>
  <si>
    <t>GF1_rK0qDwEADgC8AQwjACYANACCAJYAlwClALMAlgG4AbIBKgD//wAAAAAAAQQAAAAAAAAAAAEkRml0IENvbXBhcmlzb24gZm9yIHBhcmsgbGVhdmUgYXJlYSA0ASRSaXNrRXhwb24oMzIxLjAwLFJpc2tTaGlmdCgtNi44NTcxKSkBARAAAgABClN0YXRpc3RpY3MDAQEA/wEBAQEBAAEBAQAEAAAAAQEBAQEAAQEBAAQAAAAK0gAB4AAA7gAAAwEAGAEALQEAQgEAVwEAbAEAgQEADAAFSW5wdXQAACUBAgAMAAVFeHBvbgABLwECABMADFVudXNlZCBDdXJ2ZQACTwECABMADFVudXNlZCBDdXJ2ZQADjAECABMADFVudXNlZCBDdXJ2ZQAETAECABMADFVudXNlZCBDdXJ2ZQAFOQECABMADFVudXNlZCBDdXJ2ZQAGTgECABMADFVudXNlZCBDdXJ2ZQAHIwECABMADFVudXNlZCBDdXJ2ZQAIKQECABMADFVudXNlZCBDdXJ2ZQAJYAECAJ4BqAEBAQIBmpmZmZmZqT8AAGZmZmZmZu4/AAAFAAEBAQABAQEA</t>
  </si>
  <si>
    <t>FIT_8221B_1C6D7</t>
  </si>
  <si>
    <t>leaves area 4</t>
  </si>
  <si>
    <t>GF1_rK0qDwEADgDDAQwjACYANACHAJsAnACqALgAnQG/AbkBKgD//wAAAAAAAQQAAAAAAAAAAAEgRml0IENvbXBhcmlzb24gZm9yIGxlYXZlcyBhcmVhIDQBLVJpc2tMb2dub3JtKDcuNjg2MCw3LjAyNTgsUmlza1NoaWZ0KDAuNDk5MDApKQEBEAACAAEKU3RhdGlzdGljcwMBAQD/AQEBAQEAAQEBAAQAAAABAQEBAQABAQEABAAAAArXAAHlAAD1AAAKAQAfAQA0AQBJAQBeAQBzAQCIAQAMAAVJbnB1dAAAJQECAA4AB0xvZ25vcm0AAS8BAgATAAxVbnVzZWQgQ3VydmUAAk8BAgATAAxVbnVzZWQgQ3VydmUAA4wBAgATAAxVbnVzZWQgQ3VydmUABEwBAgATAAxVbnVzZWQgQ3VydmUABTkBAgATAAxVbnVzZWQgQ3VydmUABk4BAgATAAxVbnVzZWQgQ3VydmUAByMBAgATAAxVbnVzZWQgQ3VydmUACCkBAgATAAxVbnVzZWQgQ3VydmUACWABAgClAa8BAQECAZqZmZmZmak/AABmZmZmZmbuPwAABQABAQEAAQEBAA==</t>
  </si>
  <si>
    <t>Area 5</t>
  </si>
  <si>
    <t>total spots</t>
  </si>
  <si>
    <t>occupied</t>
  </si>
  <si>
    <t>arrives</t>
  </si>
  <si>
    <t>car park leaves</t>
  </si>
  <si>
    <t>interarpl</t>
  </si>
  <si>
    <t>car leaves inter</t>
  </si>
  <si>
    <t>FIT_3FA90_305F4</t>
  </si>
  <si>
    <t>arrival area5</t>
  </si>
  <si>
    <t>GF1_rK0qDwEADgC3AQwjACYANAB9AJEAkgCgAK4AkQGzAa0BKgD//wAAAAAAAQQAAAAAAAAAAAEgRml0IENvbXBhcmlzb24gZm9yIGFycml2YWwgYXJlYTUBI1Jpc2tFeHBvbigxMjcuOTYsUmlza1NoaWZ0KDMuNDM2NykpAQEQAAIAAQpTdGF0aXN0aWNzAwEBAP8BAQEBAQABAQEABAAAAAEBAQEBAAEBAQAEAAAACs0AAdsAAOkAAP4AABMBACgBAD0BAFIBAGcBAHwBAAwABUlucHV0AAAlAQIADAAFRXhwb24AAS8BAgATAAxVbnVzZWQgQ3VydmUAAk8BAgATAAxVbnVzZWQgQ3VydmUAA4wBAgATAAxVbnVzZWQgQ3VydmUABEwBAgATAAxVbnVzZWQgQ3VydmUABTkBAgATAAxVbnVzZWQgQ3VydmUABk4BAgATAAxVbnVzZWQgQ3VydmUAByMBAgATAAxVbnVzZWQgQ3VydmUACCkBAgATAAxVbnVzZWQgQ3VydmUACWABAgCZAaMBAQECAZqZmZmZmak/AABmZmZmZmbuPwAABQABAQEAAQEBAA==</t>
  </si>
  <si>
    <t>FIT_1819E_224F5</t>
  </si>
  <si>
    <t>park area 5</t>
  </si>
  <si>
    <t>GF1_rK0qDwEADgCvAQwjACYANABzAIcAiACWAKQAiQGrAaUBKgD//wAAAAAAAQQAAAAAAAAAAAEeRml0IENvbXBhcmlzb24gZm9yIHBhcmsgYXJlYSA1ARtSaXNrVW5pZm9ybSgtMTA1LjQwLDEwMTAuNCkBARAAAgABClN0YXRpc3RpY3MDAQEA/wEBAQEBAAEBAQAEAAAAAQEBAQEAAQEBAAQAAAAKwwAB0QAA4QAA9gAACwEAIAEANQEASgEAXwEAdAEADAAFSW5wdXQAACUBAgAOAAdVbmlmb3JtAAEvAQIAEwAMVW51c2VkIEN1cnZlAAJPAQIAEwAMVW51c2VkIEN1cnZlAAOMAQIAEwAMVW51c2VkIEN1cnZlAARMAQIAEwAMVW51c2VkIEN1cnZlAAU5AQIAEwAMVW51c2VkIEN1cnZlAAZOAQIAEwAMVW51c2VkIEN1cnZlAAcjAQIAEwAMVW51c2VkIEN1cnZlAAgpAQIAEwAMVW51c2VkIEN1cnZlAAlgAQIAkQGbAQEBAgGamZmZmZmpPwAAZmZmZmZm7j8AAAUAAQEBAAEBAQA=</t>
  </si>
  <si>
    <t>FIT_2F4AB_C729B</t>
  </si>
  <si>
    <t>park leave area 5</t>
  </si>
  <si>
    <t>GF1_rK0qDwEADgC8AQwjACYANACCAJYAlwClALMAlgG4AbIBKgD//wAAAAAAAQQAAAAAAAAAAAEkRml0IENvbXBhcmlzb24gZm9yIHBhcmsgbGVhdmUgYXJlYSA1ASRSaXNrRXhwb24oNTg2LjAwLFJpc2tTaGlmdCgtOTIuMjAwKSkBARAAAgABClN0YXRpc3RpY3MDAQEA/wEBAQEBAAEBAQAEAAAAAQEBAQEAAQEBAAQAAAAK0gAB4AAA7gAAAwEAGAEALQEAQgEAVwEAbAEAgQEADAAFSW5wdXQAACUBAgAMAAVFeHBvbgABLwECABMADFVudXNlZCBDdXJ2ZQACTwECABMADFVudXNlZCBDdXJ2ZQADjAECABMADFVudXNlZCBDdXJ2ZQAETAECABMADFVudXNlZCBDdXJ2ZQAFOQECABMADFVudXNlZCBDdXJ2ZQAGTgECABMADFVudXNlZCBDdXJ2ZQAHIwECABMADFVudXNlZCBDdXJ2ZQAIKQECABMADFVudXNlZCBDdXJ2ZQAJYAECAJ4BqAEBAQIBmpmZmZmZqT8AAGZmZmZmZu4/AAAFAAEBAQABAQEA</t>
  </si>
  <si>
    <t>EXP: 127.96, RS(3.4367)</t>
  </si>
  <si>
    <t>UNIF:[-105.40,1010.40] mean: 452.50</t>
  </si>
  <si>
    <t>EXP: 586, RS(-92.20)</t>
  </si>
  <si>
    <t>EXP: 132.80, RS(4.6880)</t>
  </si>
  <si>
    <t>FIT_A7669_1C705</t>
  </si>
  <si>
    <t>leaves area 5</t>
  </si>
  <si>
    <t>GF1_rK0qDwEADgC3AQwjACYANAB9AJEAkgCgAK4AkQGzAa0BKgD//wAAAAAAAQQAAAAAAAAAAAEgRml0IENvbXBhcmlzb24gZm9yIGxlYXZlcyBhcmVhIDUBI1Jpc2tFeHBvbigxMzIuODAsUmlza1NoaWZ0KDQuNjg4MCkpAQEQAAIAAQpTdGF0aXN0aWNzAwEBAP8BAQEBAQABAQEABAAAAAEBAQEBAAEBAQAEAAAACs0AAdsAAOkAAP4AABMBACgBAD0BAFIBAGcBAHwBAAwABUlucHV0AAAlAQIADAAFRXhwb24AAS8BAgATAAxVbnVzZWQgQ3VydmUAAk8BAgATAAxVbnVzZWQgQ3VydmUAA4wBAgATAAxVbnVzZWQgQ3VydmUABEwBAgATAAxVbnVzZWQgQ3VydmUABTkBAgATAAxVbnVzZWQgQ3VydmUABk4BAgATAAxVbnVzZWQgQ3VydmUAByMBAgATAAxVbnVzZWQgQ3VydmUACCkBAgATAAxVbnVzZWQgQ3VydmUACWABAgCZAaMBAQECAZqZmZmZmak/AABmZmZmZmbuPwAABQABAQEAAQEBAA==</t>
  </si>
  <si>
    <t>No tally</t>
  </si>
  <si>
    <t>available</t>
  </si>
  <si>
    <t>taken</t>
  </si>
  <si>
    <t>Arrive</t>
  </si>
  <si>
    <t>interarriv</t>
  </si>
  <si>
    <t>EXP: 68.608,RS(-0.86845)</t>
  </si>
  <si>
    <t>EXP:182.46,RS(16.398)</t>
  </si>
  <si>
    <t>EXP: 159.96,RS(2.0754)</t>
  </si>
  <si>
    <t>EXP: 79.070,RS(3.6128)</t>
  </si>
  <si>
    <t>number of cars</t>
  </si>
  <si>
    <t>FIT_B184D_227CD</t>
  </si>
  <si>
    <t>Parking Area Utilization</t>
  </si>
  <si>
    <t>replication length</t>
  </si>
  <si>
    <t>Average time in system</t>
  </si>
  <si>
    <t>Time spent in Parking Queue</t>
  </si>
  <si>
    <t>Constant average 201</t>
  </si>
  <si>
    <t xml:space="preserve">No Tally </t>
  </si>
  <si>
    <t>park prob</t>
  </si>
  <si>
    <t>Number of Replications</t>
  </si>
  <si>
    <t>1 hour 32 minutes</t>
  </si>
  <si>
    <t>5520 seconds</t>
  </si>
  <si>
    <t>Graph of WIP in queue for park process:</t>
  </si>
  <si>
    <t>Car wishes to park</t>
  </si>
  <si>
    <t>No Park Leave</t>
  </si>
  <si>
    <t>Average</t>
  </si>
  <si>
    <t>Half Width</t>
  </si>
  <si>
    <t>No space available leave</t>
  </si>
  <si>
    <t>[26,39]</t>
  </si>
  <si>
    <t>50 Reps</t>
  </si>
  <si>
    <t>69 minutes 7 seconds</t>
  </si>
  <si>
    <t>4147 seconds</t>
  </si>
  <si>
    <t>[32,43]</t>
  </si>
  <si>
    <t>24 minutes 17 seconds</t>
  </si>
  <si>
    <t>run length</t>
  </si>
  <si>
    <t>1457 seconds</t>
  </si>
  <si>
    <t>[82,91]</t>
  </si>
  <si>
    <t>36 minutes 2 seconds</t>
  </si>
  <si>
    <t>2162 seconds</t>
  </si>
  <si>
    <t>[77,83]</t>
  </si>
  <si>
    <t>run time</t>
  </si>
  <si>
    <t>59 min 30 seconds</t>
  </si>
  <si>
    <t>[42,49]</t>
  </si>
  <si>
    <t>Area 6</t>
  </si>
  <si>
    <t>Constant 500</t>
  </si>
  <si>
    <t>Constant 389.5</t>
  </si>
  <si>
    <t>FIT_C573A_201E3</t>
  </si>
  <si>
    <t>Area 6 Leave</t>
  </si>
  <si>
    <t>GF1_rK0qDwEADgC2AQwjACYANAB8AJAAkQCfAK0AkAGyAawBKgD//wAAAAAAAQQAAAAAAAAAAAEfRml0IENvbXBhcmlzb24gZm9yIEFyZWEgNiBMZWF2ZQEjUmlza0V4cG9uKDUzLjMwMCxSaXNrU2hpZnQoMy4yMjMzKSkBARAAAgABClN0YXRpc3RpY3MDAQEA/wEBAQEBAAEBAQAEAAAAAQEBAQEAAQEBAAQAAAAKzAAB2gAA6AAA/QAAEgEAJwEAPAEAUQEAZgEAewEADAAFSW5wdXQAACUBAgAMAAVFeHBvbgABLwECABMADFVudXNlZCBDdXJ2ZQACTwECABMADFVudXNlZCBDdXJ2ZQADjAECABMADFVudXNlZCBDdXJ2ZQAETAECABMADFVudXNlZCBDdXJ2ZQAFOQECABMADFVudXNlZCBDdXJ2ZQAGTgECABMADFVudXNlZCBDdXJ2ZQAHIwECABMADFVudXNlZCBDdXJ2ZQAIKQECABMADFVudXNlZCBDdXJ2ZQAJYAECAJgBogEBAQIBmpmZmZmZqT8AAGZmZmZmZu4/AAAFAAEBAQABAQEA</t>
  </si>
  <si>
    <t>EXP: 53.3,RS(3.2233)</t>
  </si>
  <si>
    <t>EXP: 53.065, RS(1.2882)</t>
  </si>
  <si>
    <t>arrival Area 6</t>
  </si>
  <si>
    <t>GF1_rK0qDwEADgC4AQwjACYANAB+AJIAkwChAK8AkgG0Aa4BKgD//wAAAAAAAQQAAAAAAAAAAAEhRml0IENvbXBhcmlzb24gZm9yIGFycml2YWwgQXJlYSA2ASNSaXNrRXhwb24oNTMuMDY1LFJpc2tTaGlmdCgxLjI4ODIpKQEBEAACAAEKU3RhdGlzdGljcwMBAQD/AQEBAQEAAQEBAAQAAAABAQEBAQABAQEABAAAAArOAAHcAADqAAD/AAAUAQApAQA+AQBTAQBoAQB9AQAMAAVJbnB1dAAAJQECAAwABUV4cG9uAAEvAQIAEwAMVW51c2VkIEN1cnZlAAJPAQIAEwAMVW51c2VkIEN1cnZlAAOMAQIAEwAMVW51c2VkIEN1cnZlAARMAQIAEwAMVW51c2VkIEN1cnZlAAU5AQIAEwAMVW51c2VkIEN1cnZlAAZOAQIAEwAMVW51c2VkIEN1cnZlAAcjAQIAEwAMVW51c2VkIEN1cnZlAAgpAQIAEwAMVW51c2VkIEN1cnZlAAlgAQIAmgGkAQEBAgGamZmZmZmpPwAAZmZmZmZm7j8AAAUAAQEBAAEBAQA=</t>
  </si>
  <si>
    <t>29 minutes 9 seconds</t>
  </si>
  <si>
    <t>[39,43]</t>
  </si>
  <si>
    <t>Area 1 had parking zone restrictions, one of them was a 1 hour limit and the other was a no parking zone. Area 2 contained 1 hour parking restrictions. Areas 3, 4, 5, 6 had no parking zone signs or meters.</t>
  </si>
  <si>
    <t>No parking Zone?</t>
  </si>
  <si>
    <t>1 Hour Parking Zone?</t>
  </si>
  <si>
    <t>yes</t>
  </si>
  <si>
    <t>no</t>
  </si>
  <si>
    <t>Additional information</t>
  </si>
  <si>
    <t>Zone INFO</t>
  </si>
  <si>
    <t>Evolution 1</t>
  </si>
  <si>
    <t>Time Ends:</t>
  </si>
  <si>
    <t>Time Starts:</t>
  </si>
  <si>
    <t>Evolution 2</t>
  </si>
  <si>
    <t xml:space="preserve">Start Time </t>
  </si>
  <si>
    <t>End Time</t>
  </si>
  <si>
    <t>Park Tally</t>
  </si>
  <si>
    <t>No Park Tally</t>
  </si>
  <si>
    <t>Evolution 3</t>
  </si>
  <si>
    <t>intial conditions</t>
  </si>
  <si>
    <t>available spots</t>
  </si>
  <si>
    <t>occupied spots</t>
  </si>
  <si>
    <t>Tally Results</t>
  </si>
  <si>
    <t>Leave</t>
  </si>
  <si>
    <t>TOTAL RESULT STATISTICS</t>
  </si>
  <si>
    <t>total data collection time:</t>
  </si>
  <si>
    <t>21305 seconds</t>
  </si>
  <si>
    <t>5 hours 55 minutes 5 seconds</t>
  </si>
  <si>
    <t>park prob based on stat sum</t>
  </si>
  <si>
    <t>9667 seconds</t>
  </si>
  <si>
    <t>2 hours 41 minutes 7 seconds</t>
  </si>
  <si>
    <t>11638 seconds</t>
  </si>
  <si>
    <t>3 hours 13 minutes 58 seconds</t>
  </si>
  <si>
    <t>Average Number in Parking Queue</t>
  </si>
  <si>
    <t>50 replications</t>
  </si>
  <si>
    <t>Average System Time</t>
  </si>
  <si>
    <t>1 hour 11 minutes 1 second</t>
  </si>
  <si>
    <t>1 hour 20 minutes 33 seconds</t>
  </si>
  <si>
    <t>2 REGULATED AREAS</t>
  </si>
  <si>
    <t>4 UNREGULATED AREAS</t>
  </si>
  <si>
    <t>48 minutes 29 seconds</t>
  </si>
</sst>
</file>

<file path=xl/styles.xml><?xml version="1.0" encoding="utf-8"?>
<styleSheet xmlns="http://schemas.openxmlformats.org/spreadsheetml/2006/main">
  <numFmts count="1">
    <numFmt numFmtId="164" formatCode="h:mm;@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20" fontId="0" fillId="0" borderId="0" xfId="0" applyNumberFormat="1"/>
    <xf numFmtId="46" fontId="0" fillId="0" borderId="0" xfId="0" applyNumberFormat="1"/>
    <xf numFmtId="164" fontId="0" fillId="0" borderId="0" xfId="0" applyNumberFormat="1"/>
    <xf numFmtId="0" fontId="0" fillId="2" borderId="0" xfId="0" applyFill="1"/>
    <xf numFmtId="0" fontId="2" fillId="3" borderId="0" xfId="0" applyFont="1" applyFill="1"/>
    <xf numFmtId="0" fontId="1" fillId="4" borderId="0" xfId="0" applyFont="1" applyFill="1"/>
    <xf numFmtId="0" fontId="0" fillId="4" borderId="0" xfId="0" applyFill="1"/>
    <xf numFmtId="0" fontId="0" fillId="3" borderId="0" xfId="0" applyFill="1"/>
    <xf numFmtId="0" fontId="0" fillId="0" borderId="0" xfId="0" quotePrefix="1"/>
    <xf numFmtId="20" fontId="0" fillId="5" borderId="0" xfId="0" applyNumberFormat="1" applyFill="1"/>
    <xf numFmtId="0" fontId="0" fillId="5" borderId="0" xfId="0" applyFill="1"/>
    <xf numFmtId="20" fontId="0" fillId="2" borderId="0" xfId="0" applyNumberFormat="1" applyFill="1"/>
    <xf numFmtId="20" fontId="0" fillId="6" borderId="0" xfId="0" applyNumberFormat="1" applyFill="1"/>
    <xf numFmtId="0" fontId="0" fillId="0" borderId="0" xfId="0" applyNumberFormat="1"/>
    <xf numFmtId="20" fontId="0" fillId="0" borderId="0" xfId="0" applyNumberFormat="1" applyFill="1"/>
    <xf numFmtId="0" fontId="0" fillId="0" borderId="0" xfId="0" applyFill="1"/>
    <xf numFmtId="1" fontId="0" fillId="0" borderId="0" xfId="0" applyNumberFormat="1"/>
    <xf numFmtId="2" fontId="0" fillId="0" borderId="0" xfId="0" applyNumberFormat="1"/>
    <xf numFmtId="1" fontId="0" fillId="5" borderId="0" xfId="0" applyNumberFormat="1" applyFill="1"/>
    <xf numFmtId="46" fontId="0" fillId="5" borderId="0" xfId="0" applyNumberFormat="1" applyFill="1"/>
    <xf numFmtId="1" fontId="0" fillId="2" borderId="0" xfId="0" applyNumberFormat="1" applyFill="1"/>
    <xf numFmtId="20" fontId="0" fillId="7" borderId="0" xfId="0" applyNumberFormat="1" applyFill="1"/>
    <xf numFmtId="0" fontId="0" fillId="8" borderId="0" xfId="0" applyFill="1"/>
    <xf numFmtId="20" fontId="0" fillId="8" borderId="0" xfId="0" applyNumberFormat="1" applyFill="1"/>
    <xf numFmtId="0" fontId="0" fillId="9" borderId="0" xfId="0" applyFill="1"/>
    <xf numFmtId="2" fontId="0" fillId="0" borderId="0" xfId="0" applyNumberFormat="1" applyFill="1"/>
    <xf numFmtId="0" fontId="0" fillId="0" borderId="0" xfId="0" applyNumberFormat="1" applyFill="1"/>
    <xf numFmtId="3" fontId="0" fillId="0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9" borderId="0" xfId="0" applyNumberFormat="1" applyFill="1"/>
    <xf numFmtId="10" fontId="0" fillId="0" borderId="0" xfId="0" applyNumberFormat="1" applyFill="1"/>
    <xf numFmtId="0" fontId="0" fillId="4" borderId="0" xfId="0" applyFill="1" applyAlignment="1">
      <alignment wrapText="1"/>
    </xf>
    <xf numFmtId="0" fontId="0" fillId="13" borderId="0" xfId="0" applyFill="1"/>
    <xf numFmtId="20" fontId="0" fillId="11" borderId="0" xfId="0" applyNumberFormat="1" applyFill="1"/>
    <xf numFmtId="0" fontId="0" fillId="14" borderId="1" xfId="0" applyFill="1" applyBorder="1"/>
    <xf numFmtId="0" fontId="2" fillId="14" borderId="2" xfId="0" applyFont="1" applyFill="1" applyBorder="1"/>
    <xf numFmtId="0" fontId="2" fillId="14" borderId="3" xfId="0" applyFont="1" applyFill="1" applyBorder="1"/>
    <xf numFmtId="0" fontId="0" fillId="15" borderId="0" xfId="0" applyFill="1"/>
    <xf numFmtId="0" fontId="0" fillId="16" borderId="0" xfId="0" applyFill="1"/>
    <xf numFmtId="0" fontId="0" fillId="7" borderId="0" xfId="0" applyFill="1"/>
    <xf numFmtId="10" fontId="0" fillId="1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  <a:r>
              <a:rPr lang="en-US" baseline="0"/>
              <a:t> Number in Queue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'Simulation Results'!$F$48:$F$53</c:f>
              <c:strCache>
                <c:ptCount val="6"/>
                <c:pt idx="0">
                  <c:v>Area 1</c:v>
                </c:pt>
                <c:pt idx="1">
                  <c:v>Area 2</c:v>
                </c:pt>
                <c:pt idx="2">
                  <c:v>Area 3</c:v>
                </c:pt>
                <c:pt idx="3">
                  <c:v>Area 4</c:v>
                </c:pt>
                <c:pt idx="4">
                  <c:v>Area 5</c:v>
                </c:pt>
                <c:pt idx="5">
                  <c:v>Area 6</c:v>
                </c:pt>
              </c:strCache>
            </c:strRef>
          </c:cat>
          <c:val>
            <c:numRef>
              <c:f>'Simulation Results'!$G$48:$G$53</c:f>
              <c:numCache>
                <c:formatCode>General</c:formatCode>
                <c:ptCount val="6"/>
                <c:pt idx="0">
                  <c:v>32.773000000000003</c:v>
                </c:pt>
                <c:pt idx="1">
                  <c:v>39.014000000000003</c:v>
                </c:pt>
                <c:pt idx="2">
                  <c:v>88.429000000000002</c:v>
                </c:pt>
                <c:pt idx="3">
                  <c:v>80.757999999999996</c:v>
                </c:pt>
                <c:pt idx="4">
                  <c:v>46.506999999999998</c:v>
                </c:pt>
                <c:pt idx="5">
                  <c:v>39.878</c:v>
                </c:pt>
              </c:numCache>
            </c:numRef>
          </c:val>
        </c:ser>
        <c:axId val="89018368"/>
        <c:axId val="89020672"/>
      </c:barChart>
      <c:catAx>
        <c:axId val="89018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Area</a:t>
                </a:r>
              </a:p>
            </c:rich>
          </c:tx>
          <c:layout/>
        </c:title>
        <c:majorTickMark val="none"/>
        <c:tickLblPos val="nextTo"/>
        <c:crossAx val="89020672"/>
        <c:crosses val="autoZero"/>
        <c:auto val="1"/>
        <c:lblAlgn val="ctr"/>
        <c:lblOffset val="100"/>
      </c:catAx>
      <c:valAx>
        <c:axId val="89020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Cars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6666666666666677E-2"/>
              <c:y val="0.38912219305920143"/>
            </c:manualLayout>
          </c:layout>
        </c:title>
        <c:numFmt formatCode="General" sourceLinked="1"/>
        <c:tickLblPos val="nextTo"/>
        <c:crossAx val="89018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2638425</xdr:colOff>
      <xdr:row>56</xdr:row>
      <xdr:rowOff>19050</xdr:rowOff>
    </xdr:from>
    <xdr:to>
      <xdr:col>8</xdr:col>
      <xdr:colOff>209550</xdr:colOff>
      <xdr:row>70</xdr:row>
      <xdr:rowOff>95250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457200</xdr:colOff>
      <xdr:row>1</xdr:row>
      <xdr:rowOff>66675</xdr:rowOff>
    </xdr:from>
    <xdr:ext cx="184731" cy="264560"/>
    <xdr:sp macro="" textlink="">
      <xdr:nvSpPr>
        <xdr:cNvPr id="6" name="TextBox 5"/>
        <xdr:cNvSpPr txBox="1"/>
      </xdr:nvSpPr>
      <xdr:spPr>
        <a:xfrm>
          <a:off x="8153400" y="257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0</xdr:col>
      <xdr:colOff>0</xdr:colOff>
      <xdr:row>12</xdr:row>
      <xdr:rowOff>9525</xdr:rowOff>
    </xdr:from>
    <xdr:to>
      <xdr:col>4</xdr:col>
      <xdr:colOff>276225</xdr:colOff>
      <xdr:row>25</xdr:row>
      <xdr:rowOff>161925</xdr:rowOff>
    </xdr:to>
    <xdr:pic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2295525"/>
          <a:ext cx="5629275" cy="2628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38100</xdr:colOff>
      <xdr:row>38</xdr:row>
      <xdr:rowOff>133350</xdr:rowOff>
    </xdr:from>
    <xdr:to>
      <xdr:col>4</xdr:col>
      <xdr:colOff>247650</xdr:colOff>
      <xdr:row>52</xdr:row>
      <xdr:rowOff>76200</xdr:rowOff>
    </xdr:to>
    <xdr:pic>
      <xdr:nvPicPr>
        <xdr:cNvPr id="10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8100" y="7372350"/>
          <a:ext cx="5562600" cy="2609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4</xdr:col>
      <xdr:colOff>666750</xdr:colOff>
      <xdr:row>79</xdr:row>
      <xdr:rowOff>142875</xdr:rowOff>
    </xdr:to>
    <xdr:pic>
      <xdr:nvPicPr>
        <xdr:cNvPr id="1038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12382500"/>
          <a:ext cx="6019800" cy="2809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4</xdr:col>
      <xdr:colOff>914400</xdr:colOff>
      <xdr:row>107</xdr:row>
      <xdr:rowOff>19050</xdr:rowOff>
    </xdr:to>
    <xdr:pic>
      <xdr:nvPicPr>
        <xdr:cNvPr id="1039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0" y="17526000"/>
          <a:ext cx="6267450" cy="2876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120</xdr:row>
      <xdr:rowOff>0</xdr:rowOff>
    </xdr:from>
    <xdr:to>
      <xdr:col>2</xdr:col>
      <xdr:colOff>1266825</xdr:colOff>
      <xdr:row>132</xdr:row>
      <xdr:rowOff>95250</xdr:rowOff>
    </xdr:to>
    <xdr:pic>
      <xdr:nvPicPr>
        <xdr:cNvPr id="1040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0" y="22860000"/>
          <a:ext cx="4505325" cy="2381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2</xdr:col>
      <xdr:colOff>1123950</xdr:colOff>
      <xdr:row>156</xdr:row>
      <xdr:rowOff>114300</xdr:rowOff>
    </xdr:to>
    <xdr:pic>
      <xdr:nvPicPr>
        <xdr:cNvPr id="1041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0" y="27622500"/>
          <a:ext cx="4362450" cy="2209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88"/>
  <sheetViews>
    <sheetView workbookViewId="0">
      <selection activeCell="K7" sqref="K7:K85"/>
    </sheetView>
  </sheetViews>
  <sheetFormatPr defaultRowHeight="15"/>
  <cols>
    <col min="1" max="1" width="20" customWidth="1"/>
    <col min="2" max="2" width="11.5703125" customWidth="1"/>
    <col min="4" max="4" width="11" customWidth="1"/>
    <col min="5" max="5" width="10.5703125" customWidth="1"/>
    <col min="6" max="6" width="16.42578125" customWidth="1"/>
    <col min="17" max="17" width="24.42578125" customWidth="1"/>
    <col min="18" max="18" width="17.28515625" customWidth="1"/>
    <col min="20" max="20" width="12.28515625" customWidth="1"/>
  </cols>
  <sheetData>
    <row r="1" spans="1:26">
      <c r="A1" t="s">
        <v>0</v>
      </c>
    </row>
    <row r="2" spans="1:26">
      <c r="A2" t="s">
        <v>1</v>
      </c>
      <c r="B2">
        <v>42</v>
      </c>
      <c r="E2" s="4"/>
      <c r="F2" t="s">
        <v>10</v>
      </c>
    </row>
    <row r="3" spans="1:26">
      <c r="A3" t="s">
        <v>2</v>
      </c>
      <c r="B3">
        <v>35</v>
      </c>
      <c r="H3" s="1">
        <v>0.10416666666666667</v>
      </c>
      <c r="I3" s="1">
        <f>H4-H3</f>
        <v>6.388888888888887E-2</v>
      </c>
    </row>
    <row r="4" spans="1:26">
      <c r="A4" t="s">
        <v>3</v>
      </c>
      <c r="B4" t="s">
        <v>4</v>
      </c>
      <c r="C4" s="1" t="s">
        <v>11</v>
      </c>
      <c r="D4" s="1"/>
      <c r="E4" s="1">
        <v>0.16805555555555554</v>
      </c>
      <c r="F4" s="1">
        <f>E4-E5</f>
        <v>6.388888888888887E-2</v>
      </c>
      <c r="H4" s="1">
        <v>0.16805555555555554</v>
      </c>
      <c r="P4" s="7" t="s">
        <v>88</v>
      </c>
      <c r="Q4" s="8"/>
      <c r="R4" s="8" t="s">
        <v>6</v>
      </c>
      <c r="S4" s="8" t="s">
        <v>19</v>
      </c>
      <c r="T4" s="8" t="s">
        <v>24</v>
      </c>
      <c r="U4" s="8"/>
      <c r="V4" s="8" t="s">
        <v>89</v>
      </c>
      <c r="W4" s="8"/>
      <c r="X4" s="8"/>
    </row>
    <row r="5" spans="1:26">
      <c r="E5" s="1">
        <v>0.10416666666666667</v>
      </c>
      <c r="P5" s="7" t="s">
        <v>0</v>
      </c>
      <c r="Q5" s="8"/>
      <c r="R5" s="8">
        <v>23</v>
      </c>
      <c r="S5" s="8">
        <v>56</v>
      </c>
      <c r="T5" s="8">
        <f>56+23</f>
        <v>79</v>
      </c>
      <c r="U5" s="8"/>
      <c r="V5" s="8">
        <v>0</v>
      </c>
      <c r="W5" s="8"/>
      <c r="X5" s="8"/>
    </row>
    <row r="6" spans="1:26">
      <c r="A6" t="s">
        <v>5</v>
      </c>
      <c r="B6" t="s">
        <v>9</v>
      </c>
      <c r="C6" t="s">
        <v>6</v>
      </c>
      <c r="D6" t="s">
        <v>9</v>
      </c>
      <c r="E6" t="s">
        <v>7</v>
      </c>
      <c r="F6" t="s">
        <v>9</v>
      </c>
      <c r="G6" t="s">
        <v>8</v>
      </c>
      <c r="H6" t="s">
        <v>9</v>
      </c>
      <c r="K6" t="s">
        <v>117</v>
      </c>
      <c r="L6" t="s">
        <v>92</v>
      </c>
      <c r="M6" t="s">
        <v>93</v>
      </c>
      <c r="N6" t="s">
        <v>94</v>
      </c>
      <c r="Q6" s="8" t="s">
        <v>215</v>
      </c>
      <c r="R6" s="8" t="s">
        <v>222</v>
      </c>
      <c r="S6" s="8"/>
      <c r="T6" s="8"/>
      <c r="U6" s="8"/>
      <c r="V6" s="8"/>
      <c r="W6" s="8" t="s">
        <v>90</v>
      </c>
      <c r="X6" s="8">
        <v>0</v>
      </c>
    </row>
    <row r="7" spans="1:26">
      <c r="A7" s="3">
        <v>5.2083333333333336E-2</v>
      </c>
      <c r="B7" s="3">
        <f t="shared" ref="B7:B12" si="0">A8-A7</f>
        <v>6.9444444444444198E-4</v>
      </c>
      <c r="C7" s="1">
        <v>0.1111111111111111</v>
      </c>
      <c r="D7" s="1">
        <f>C8-C7</f>
        <v>2.0138888888888901E-2</v>
      </c>
      <c r="E7" s="1">
        <v>0.28819444444444448</v>
      </c>
      <c r="F7" s="1">
        <f>E8-E7</f>
        <v>0.14374999999999999</v>
      </c>
      <c r="G7" s="1">
        <v>0.5229166666666667</v>
      </c>
      <c r="H7" s="1">
        <f t="shared" ref="H7:H13" si="1">G8-G7</f>
        <v>0.17013888888888884</v>
      </c>
      <c r="K7">
        <v>0.99999999999999645</v>
      </c>
      <c r="L7">
        <v>29.000000000000018</v>
      </c>
      <c r="M7">
        <v>206.99999999999997</v>
      </c>
      <c r="N7">
        <v>244.99999999999994</v>
      </c>
      <c r="Q7" s="8"/>
      <c r="R7" s="8" t="s">
        <v>223</v>
      </c>
      <c r="S7" s="8"/>
      <c r="T7" s="8"/>
      <c r="U7" s="8"/>
      <c r="V7" s="8"/>
      <c r="W7" s="8"/>
      <c r="X7" s="8"/>
    </row>
    <row r="8" spans="1:26">
      <c r="A8" s="3">
        <v>5.2777777777777778E-2</v>
      </c>
      <c r="B8" s="3">
        <f t="shared" si="0"/>
        <v>6.9444444444444198E-4</v>
      </c>
      <c r="C8" s="1">
        <v>0.13125000000000001</v>
      </c>
      <c r="D8" s="1">
        <f t="shared" ref="D8:D22" si="2">C9-C8</f>
        <v>8.611111111111111E-2</v>
      </c>
      <c r="E8" s="1">
        <v>0.43194444444444446</v>
      </c>
      <c r="F8" s="1">
        <f t="shared" ref="F8:F25" si="3">E9-E8</f>
        <v>4.1666666666666685E-2</v>
      </c>
      <c r="G8" s="1">
        <v>0.69305555555555554</v>
      </c>
      <c r="H8" s="1">
        <f t="shared" si="1"/>
        <v>1.1111111111111072E-2</v>
      </c>
      <c r="K8">
        <v>0.99999999999999645</v>
      </c>
      <c r="L8">
        <v>123.99999999999999</v>
      </c>
      <c r="M8">
        <v>60.000000000000028</v>
      </c>
      <c r="N8">
        <v>15.999999999999943</v>
      </c>
      <c r="Q8" s="8"/>
      <c r="R8" s="8" t="s">
        <v>20</v>
      </c>
      <c r="S8" s="8" t="s">
        <v>21</v>
      </c>
      <c r="T8" s="8" t="s">
        <v>22</v>
      </c>
      <c r="U8" s="8" t="s">
        <v>23</v>
      </c>
      <c r="V8" s="8"/>
      <c r="W8" s="8"/>
      <c r="X8" s="8"/>
      <c r="Y8" s="8" t="s">
        <v>99</v>
      </c>
      <c r="Z8" s="8"/>
    </row>
    <row r="9" spans="1:26">
      <c r="A9" s="3">
        <v>5.347222222222222E-2</v>
      </c>
      <c r="B9" s="3">
        <f t="shared" si="0"/>
        <v>0</v>
      </c>
      <c r="C9" s="1">
        <v>0.21736111111111112</v>
      </c>
      <c r="D9" s="1">
        <f t="shared" si="2"/>
        <v>0.18402777777777773</v>
      </c>
      <c r="E9" s="1">
        <v>0.47361111111111115</v>
      </c>
      <c r="F9" s="1">
        <f t="shared" si="3"/>
        <v>5.6249999999999967E-2</v>
      </c>
      <c r="G9" s="1">
        <v>0.70416666666666661</v>
      </c>
      <c r="H9" s="1">
        <f t="shared" si="1"/>
        <v>4.861111111111116E-2</v>
      </c>
      <c r="K9">
        <v>0</v>
      </c>
      <c r="L9">
        <v>264.99999999999994</v>
      </c>
      <c r="M9">
        <v>80.999999999999957</v>
      </c>
      <c r="N9">
        <v>70.000000000000071</v>
      </c>
      <c r="Q9" s="8" t="s">
        <v>31</v>
      </c>
      <c r="R9" s="8">
        <v>79</v>
      </c>
      <c r="S9" s="8">
        <v>23</v>
      </c>
      <c r="T9" s="8">
        <v>26</v>
      </c>
      <c r="U9" s="8">
        <v>56</v>
      </c>
      <c r="V9" s="8"/>
      <c r="W9" s="8"/>
      <c r="X9" s="8"/>
      <c r="Y9" s="8" t="s">
        <v>13</v>
      </c>
      <c r="Z9" s="8">
        <v>42</v>
      </c>
    </row>
    <row r="10" spans="1:26">
      <c r="A10" s="3">
        <v>5.347222222222222E-2</v>
      </c>
      <c r="B10" s="3">
        <f t="shared" si="0"/>
        <v>1.0416666666666664E-2</v>
      </c>
      <c r="C10" s="1">
        <v>0.40138888888888885</v>
      </c>
      <c r="D10" s="1">
        <f t="shared" si="2"/>
        <v>0.14305555555555555</v>
      </c>
      <c r="E10" s="1">
        <v>0.52986111111111112</v>
      </c>
      <c r="F10" s="1">
        <f t="shared" si="3"/>
        <v>0.43888888888888888</v>
      </c>
      <c r="G10" s="1">
        <v>0.75277777777777777</v>
      </c>
      <c r="H10" s="1">
        <f t="shared" si="1"/>
        <v>0.23472222222222217</v>
      </c>
      <c r="K10">
        <v>14.999999999999996</v>
      </c>
      <c r="L10">
        <v>206</v>
      </c>
      <c r="M10">
        <v>632</v>
      </c>
      <c r="N10">
        <v>337.99999999999994</v>
      </c>
      <c r="Q10" s="8" t="s">
        <v>65</v>
      </c>
      <c r="R10" s="8" t="s">
        <v>208</v>
      </c>
      <c r="S10" s="8" t="s">
        <v>209</v>
      </c>
      <c r="T10" s="8" t="s">
        <v>210</v>
      </c>
      <c r="U10" s="8" t="s">
        <v>211</v>
      </c>
      <c r="V10" s="8"/>
      <c r="W10" s="8"/>
      <c r="X10" s="8"/>
      <c r="Y10" s="8" t="s">
        <v>14</v>
      </c>
      <c r="Z10" s="8">
        <v>35</v>
      </c>
    </row>
    <row r="11" spans="1:26">
      <c r="A11" s="3">
        <v>6.3888888888888884E-2</v>
      </c>
      <c r="B11" s="3">
        <f t="shared" si="0"/>
        <v>3.4722222222222224E-2</v>
      </c>
      <c r="C11" s="1">
        <v>0.5444444444444444</v>
      </c>
      <c r="D11" s="1">
        <f t="shared" si="2"/>
        <v>0.36597222222222237</v>
      </c>
      <c r="E11" s="1">
        <v>0.96875</v>
      </c>
      <c r="F11" s="1">
        <f t="shared" si="3"/>
        <v>4.4444444444444509E-2</v>
      </c>
      <c r="G11" s="1">
        <v>0.98749999999999993</v>
      </c>
      <c r="H11" s="1">
        <f t="shared" si="1"/>
        <v>2.2916666666666807E-2</v>
      </c>
      <c r="K11">
        <v>50</v>
      </c>
      <c r="L11">
        <v>527.00000000000023</v>
      </c>
      <c r="M11">
        <v>64.000000000000085</v>
      </c>
      <c r="N11">
        <v>33.000000000000199</v>
      </c>
    </row>
    <row r="12" spans="1:26">
      <c r="A12" s="3">
        <v>9.8611111111111108E-2</v>
      </c>
      <c r="B12" s="3">
        <f t="shared" si="0"/>
        <v>9.9999999999999992E-2</v>
      </c>
      <c r="C12" s="1">
        <v>0.91041666666666676</v>
      </c>
      <c r="D12" s="1">
        <f t="shared" si="2"/>
        <v>8.2638888888888706E-2</v>
      </c>
      <c r="E12" s="2">
        <v>1.0131944444444445</v>
      </c>
      <c r="F12" s="1">
        <f t="shared" si="3"/>
        <v>6.9444444444444198E-3</v>
      </c>
      <c r="G12" s="2">
        <v>1.0104166666666667</v>
      </c>
      <c r="H12" s="1">
        <f t="shared" si="1"/>
        <v>0.10416666666666652</v>
      </c>
      <c r="K12">
        <v>144</v>
      </c>
      <c r="L12">
        <v>118.99999999999974</v>
      </c>
      <c r="M12">
        <v>9.9999999999999645</v>
      </c>
      <c r="N12">
        <v>149.99999999999977</v>
      </c>
    </row>
    <row r="13" spans="1:26">
      <c r="A13" s="3">
        <v>0.1986111111111111</v>
      </c>
      <c r="B13" s="3">
        <f t="shared" ref="B13:B55" si="4">A14-A13</f>
        <v>1.2500000000000011E-2</v>
      </c>
      <c r="C13" s="1">
        <v>0.99305555555555547</v>
      </c>
      <c r="D13" s="1">
        <f t="shared" si="2"/>
        <v>0.2993055555555556</v>
      </c>
      <c r="E13" s="2">
        <v>1.0201388888888889</v>
      </c>
      <c r="F13" s="1">
        <f t="shared" si="3"/>
        <v>7.8472222222222276E-2</v>
      </c>
      <c r="G13" s="2">
        <v>1.1145833333333333</v>
      </c>
      <c r="H13" s="1">
        <f t="shared" si="1"/>
        <v>4.8611111111112049E-3</v>
      </c>
      <c r="K13">
        <v>18.000000000000014</v>
      </c>
      <c r="L13">
        <v>431.00000000000006</v>
      </c>
      <c r="M13">
        <v>113.00000000000009</v>
      </c>
      <c r="N13">
        <v>7.000000000000135</v>
      </c>
      <c r="Q13">
        <f>60*60+32*60</f>
        <v>5520</v>
      </c>
    </row>
    <row r="14" spans="1:26">
      <c r="A14" s="3">
        <v>0.21111111111111111</v>
      </c>
      <c r="B14" s="3">
        <f t="shared" si="4"/>
        <v>0.10347222222222222</v>
      </c>
      <c r="C14" s="2">
        <v>1.2923611111111111</v>
      </c>
      <c r="D14" s="1">
        <f t="shared" si="2"/>
        <v>1.6666666666666829E-2</v>
      </c>
      <c r="E14" s="2">
        <v>1.0986111111111112</v>
      </c>
      <c r="F14" s="1">
        <f t="shared" si="3"/>
        <v>5.5555555555555358E-3</v>
      </c>
      <c r="G14" s="2">
        <v>1.1194444444444445</v>
      </c>
      <c r="H14" s="1">
        <f t="shared" ref="H14:H36" si="5">G15-G14</f>
        <v>6.1111111111111116E-2</v>
      </c>
      <c r="K14">
        <v>149</v>
      </c>
      <c r="L14">
        <v>24.000000000000234</v>
      </c>
      <c r="M14">
        <v>7.9999999999999716</v>
      </c>
      <c r="N14">
        <v>88</v>
      </c>
      <c r="W14">
        <f>23/56</f>
        <v>0.4107142857142857</v>
      </c>
    </row>
    <row r="15" spans="1:26">
      <c r="A15" s="3">
        <v>0.31458333333333333</v>
      </c>
      <c r="B15" s="3">
        <f t="shared" si="4"/>
        <v>6.8749999999999978E-2</v>
      </c>
      <c r="C15" s="2">
        <v>1.3090277777777779</v>
      </c>
      <c r="D15" s="1">
        <f t="shared" si="2"/>
        <v>5.8333333333333348E-2</v>
      </c>
      <c r="E15" s="2">
        <v>1.1041666666666667</v>
      </c>
      <c r="F15" s="1">
        <f t="shared" si="3"/>
        <v>0.12777777777777777</v>
      </c>
      <c r="G15" s="2">
        <v>1.1805555555555556</v>
      </c>
      <c r="H15" s="1">
        <f t="shared" si="5"/>
        <v>3.7500000000000089E-2</v>
      </c>
      <c r="K15">
        <v>98.999999999999972</v>
      </c>
      <c r="L15">
        <v>84.000000000000028</v>
      </c>
      <c r="M15">
        <v>184</v>
      </c>
      <c r="N15">
        <v>54.000000000000128</v>
      </c>
      <c r="Q15">
        <f>Q13/23</f>
        <v>240</v>
      </c>
    </row>
    <row r="16" spans="1:26">
      <c r="A16" s="3">
        <v>0.3833333333333333</v>
      </c>
      <c r="B16" s="3">
        <f t="shared" si="4"/>
        <v>0.11388888888888893</v>
      </c>
      <c r="C16" s="2">
        <v>1.3673611111111112</v>
      </c>
      <c r="D16" s="1">
        <f t="shared" si="2"/>
        <v>5.4861111111111027E-2</v>
      </c>
      <c r="E16" s="2">
        <v>1.2319444444444445</v>
      </c>
      <c r="F16" s="1">
        <f t="shared" si="3"/>
        <v>8.3333333333333037E-3</v>
      </c>
      <c r="G16" s="2">
        <v>1.2180555555555557</v>
      </c>
      <c r="H16" s="1">
        <f t="shared" si="5"/>
        <v>7.0138888888888751E-2</v>
      </c>
      <c r="K16">
        <v>164.00000000000006</v>
      </c>
      <c r="L16">
        <v>78.999999999999886</v>
      </c>
      <c r="M16">
        <v>11.999999999999957</v>
      </c>
      <c r="N16">
        <v>100.9999999999998</v>
      </c>
    </row>
    <row r="17" spans="1:22">
      <c r="A17" s="3">
        <v>0.49722222222222223</v>
      </c>
      <c r="B17" s="3">
        <f t="shared" si="4"/>
        <v>4.5138888888888951E-2</v>
      </c>
      <c r="C17" s="2">
        <v>1.4222222222222223</v>
      </c>
      <c r="D17" s="1">
        <f t="shared" si="2"/>
        <v>0.11874999999999991</v>
      </c>
      <c r="E17" s="2">
        <v>1.2402777777777778</v>
      </c>
      <c r="F17" s="1">
        <f t="shared" si="3"/>
        <v>0.1319444444444442</v>
      </c>
      <c r="G17" s="2">
        <v>1.2881944444444444</v>
      </c>
      <c r="H17" s="1">
        <f t="shared" si="5"/>
        <v>3.125E-2</v>
      </c>
      <c r="K17">
        <v>65.000000000000085</v>
      </c>
      <c r="L17">
        <v>170.99999999999989</v>
      </c>
      <c r="M17">
        <v>189.99999999999966</v>
      </c>
      <c r="N17">
        <v>45</v>
      </c>
      <c r="R17">
        <f>3600+32*60</f>
        <v>5520</v>
      </c>
    </row>
    <row r="18" spans="1:22">
      <c r="A18" s="3">
        <v>0.54236111111111118</v>
      </c>
      <c r="B18" s="3">
        <f t="shared" si="4"/>
        <v>0.14097222222222205</v>
      </c>
      <c r="C18" s="2">
        <v>1.5409722222222222</v>
      </c>
      <c r="D18" s="1">
        <f t="shared" si="2"/>
        <v>1.9444444444444597E-2</v>
      </c>
      <c r="E18" s="2">
        <v>1.372222222222222</v>
      </c>
      <c r="F18" s="1">
        <f t="shared" si="3"/>
        <v>3.9583333333333526E-2</v>
      </c>
      <c r="G18" s="2">
        <v>1.3194444444444444</v>
      </c>
      <c r="H18" s="1">
        <f t="shared" si="5"/>
        <v>9.7222222222221877E-3</v>
      </c>
      <c r="K18">
        <v>202.99999999999977</v>
      </c>
      <c r="L18">
        <v>28.00000000000022</v>
      </c>
      <c r="M18">
        <v>57.000000000000277</v>
      </c>
      <c r="N18">
        <v>13.99999999999995</v>
      </c>
    </row>
    <row r="19" spans="1:22">
      <c r="A19" s="3">
        <v>0.68333333333333324</v>
      </c>
      <c r="B19" s="3">
        <f t="shared" si="4"/>
        <v>1.5277777777777835E-2</v>
      </c>
      <c r="C19" s="2">
        <v>1.5604166666666668</v>
      </c>
      <c r="D19" s="1">
        <f t="shared" si="2"/>
        <v>5.5555555555555358E-2</v>
      </c>
      <c r="E19" s="2">
        <v>1.4118055555555555</v>
      </c>
      <c r="F19" s="1">
        <f t="shared" si="3"/>
        <v>7.8472222222222276E-2</v>
      </c>
      <c r="G19" s="2">
        <v>1.3291666666666666</v>
      </c>
      <c r="H19" s="1">
        <f t="shared" si="5"/>
        <v>7.3611111111111072E-2</v>
      </c>
      <c r="K19">
        <v>22.000000000000082</v>
      </c>
      <c r="L19">
        <v>79.999999999999716</v>
      </c>
      <c r="M19">
        <v>113.00000000000009</v>
      </c>
      <c r="N19">
        <v>105.99999999999994</v>
      </c>
    </row>
    <row r="20" spans="1:22">
      <c r="A20" s="3">
        <v>0.69861111111111107</v>
      </c>
      <c r="B20" s="3">
        <f t="shared" si="4"/>
        <v>4.0972222222222299E-2</v>
      </c>
      <c r="C20" s="2">
        <v>1.6159722222222221</v>
      </c>
      <c r="D20" s="1">
        <f t="shared" si="2"/>
        <v>0.29513888888888906</v>
      </c>
      <c r="E20" s="2">
        <v>1.4902777777777778</v>
      </c>
      <c r="F20" s="1">
        <f t="shared" si="3"/>
        <v>9.9999999999999867E-2</v>
      </c>
      <c r="G20" s="2">
        <v>1.4027777777777777</v>
      </c>
      <c r="H20" s="1">
        <f t="shared" si="5"/>
        <v>9.0277777777778567E-3</v>
      </c>
      <c r="K20">
        <v>59.000000000000114</v>
      </c>
      <c r="L20">
        <v>425.00000000000023</v>
      </c>
      <c r="M20">
        <v>143.9999999999998</v>
      </c>
      <c r="N20">
        <v>13.000000000000114</v>
      </c>
      <c r="U20">
        <v>2.0138888888888901E-2</v>
      </c>
      <c r="V20">
        <f>U20*24*60</f>
        <v>29.000000000000018</v>
      </c>
    </row>
    <row r="21" spans="1:22">
      <c r="A21" s="3">
        <v>0.73958333333333337</v>
      </c>
      <c r="B21" s="3">
        <f t="shared" si="4"/>
        <v>0.15416666666666656</v>
      </c>
      <c r="C21" s="2">
        <v>1.9111111111111112</v>
      </c>
      <c r="D21" s="1">
        <f t="shared" si="2"/>
        <v>1.9444444444444375E-2</v>
      </c>
      <c r="E21" s="2">
        <v>1.5902777777777777</v>
      </c>
      <c r="F21" s="1">
        <f t="shared" si="3"/>
        <v>0.14027777777777772</v>
      </c>
      <c r="G21" s="2">
        <v>1.4118055555555555</v>
      </c>
      <c r="H21" s="1">
        <f t="shared" si="5"/>
        <v>0.10347222222222219</v>
      </c>
      <c r="K21">
        <v>221.99999999999986</v>
      </c>
      <c r="L21">
        <v>27.999999999999901</v>
      </c>
      <c r="M21">
        <v>201.99999999999991</v>
      </c>
      <c r="N21">
        <v>148.99999999999994</v>
      </c>
      <c r="U21">
        <v>8.611111111111111E-2</v>
      </c>
      <c r="V21">
        <f t="shared" ref="V21:V35" si="6">U21*24*60</f>
        <v>123.99999999999999</v>
      </c>
    </row>
    <row r="22" spans="1:22">
      <c r="A22" s="3">
        <v>0.89374999999999993</v>
      </c>
      <c r="B22" s="3">
        <f t="shared" si="4"/>
        <v>7.6388888888889062E-2</v>
      </c>
      <c r="C22" s="2">
        <v>1.9305555555555556</v>
      </c>
      <c r="D22" s="1">
        <f t="shared" si="2"/>
        <v>0.29166666666666674</v>
      </c>
      <c r="E22" s="2">
        <v>1.7305555555555554</v>
      </c>
      <c r="F22" s="1">
        <f t="shared" si="3"/>
        <v>0.20972222222222259</v>
      </c>
      <c r="G22" s="2">
        <v>1.5152777777777777</v>
      </c>
      <c r="H22" s="1">
        <f t="shared" si="5"/>
        <v>0.1444444444444446</v>
      </c>
      <c r="K22">
        <v>110.00000000000026</v>
      </c>
      <c r="L22">
        <v>420.00000000000011</v>
      </c>
      <c r="M22">
        <v>302.00000000000051</v>
      </c>
      <c r="N22">
        <v>208.00000000000023</v>
      </c>
      <c r="U22">
        <v>0.18402777777777773</v>
      </c>
      <c r="V22">
        <f t="shared" si="6"/>
        <v>264.99999999999994</v>
      </c>
    </row>
    <row r="23" spans="1:22">
      <c r="A23" s="3">
        <v>0.97013888888888899</v>
      </c>
      <c r="B23" s="3">
        <f t="shared" si="4"/>
        <v>9.0277777777776347E-3</v>
      </c>
      <c r="C23" s="2">
        <v>2.2222222222222223</v>
      </c>
      <c r="D23" s="4"/>
      <c r="E23" s="2">
        <v>1.940277777777778</v>
      </c>
      <c r="F23" s="1">
        <f t="shared" si="3"/>
        <v>0.10486111111111085</v>
      </c>
      <c r="G23" s="2">
        <v>1.6597222222222223</v>
      </c>
      <c r="H23" s="1">
        <f t="shared" si="5"/>
        <v>7.0833333333333082E-2</v>
      </c>
      <c r="K23">
        <v>12.999999999999794</v>
      </c>
      <c r="L23">
        <v>147</v>
      </c>
      <c r="M23">
        <v>150.99999999999963</v>
      </c>
      <c r="N23">
        <v>101.99999999999963</v>
      </c>
      <c r="U23">
        <v>0.14305555555555555</v>
      </c>
      <c r="V23">
        <f t="shared" si="6"/>
        <v>206</v>
      </c>
    </row>
    <row r="24" spans="1:22">
      <c r="A24" s="3">
        <v>0.97916666666666663</v>
      </c>
      <c r="B24" s="3">
        <f>A25-A24</f>
        <v>0.13194444444444453</v>
      </c>
      <c r="C24" s="4"/>
      <c r="D24" s="1"/>
      <c r="E24" s="2">
        <v>2.0451388888888888</v>
      </c>
      <c r="F24" s="1">
        <f t="shared" si="3"/>
        <v>7.2916666666666963E-2</v>
      </c>
      <c r="G24" s="2">
        <v>1.7305555555555554</v>
      </c>
      <c r="H24" s="1">
        <f t="shared" si="5"/>
        <v>8.8194444444444464E-2</v>
      </c>
      <c r="K24">
        <v>190.00000000000011</v>
      </c>
      <c r="L24">
        <v>124.99999999999999</v>
      </c>
      <c r="M24">
        <v>105.00000000000043</v>
      </c>
      <c r="N24">
        <v>127.00000000000003</v>
      </c>
      <c r="U24">
        <v>0.36597222222222237</v>
      </c>
      <c r="V24">
        <f t="shared" si="6"/>
        <v>527.00000000000023</v>
      </c>
    </row>
    <row r="25" spans="1:22">
      <c r="A25" s="2">
        <v>1.1111111111111112</v>
      </c>
      <c r="B25" s="3">
        <f t="shared" si="4"/>
        <v>2.7777777777777679E-3</v>
      </c>
      <c r="C25" s="1">
        <v>6.1111111111111116E-2</v>
      </c>
      <c r="D25" s="1">
        <f>C26-C25</f>
        <v>0.10208333333333333</v>
      </c>
      <c r="E25" s="2">
        <v>2.1180555555555558</v>
      </c>
      <c r="F25" s="1">
        <f t="shared" si="3"/>
        <v>3.958333333333286E-2</v>
      </c>
      <c r="G25" s="2">
        <v>1.8187499999999999</v>
      </c>
      <c r="H25" s="1">
        <f t="shared" si="5"/>
        <v>9.0972222222222454E-2</v>
      </c>
      <c r="K25">
        <v>3.9999999999999858</v>
      </c>
      <c r="L25">
        <v>44</v>
      </c>
      <c r="M25">
        <v>56.999999999999318</v>
      </c>
      <c r="N25">
        <v>131.00000000000034</v>
      </c>
      <c r="U25">
        <v>8.2638888888888706E-2</v>
      </c>
      <c r="V25">
        <f t="shared" si="6"/>
        <v>118.99999999999974</v>
      </c>
    </row>
    <row r="26" spans="1:22">
      <c r="A26" s="2">
        <v>1.1138888888888889</v>
      </c>
      <c r="B26" s="3">
        <f t="shared" si="4"/>
        <v>5.2083333333333259E-2</v>
      </c>
      <c r="C26" s="1">
        <v>0.16319444444444445</v>
      </c>
      <c r="D26" s="1">
        <f t="shared" ref="D26:D32" si="7">C27-C26</f>
        <v>8.6805555555555552E-2</v>
      </c>
      <c r="E26" s="2">
        <v>2.1576388888888887</v>
      </c>
      <c r="F26" s="4"/>
      <c r="G26" s="2">
        <v>1.9097222222222223</v>
      </c>
      <c r="H26" s="1">
        <f t="shared" si="5"/>
        <v>6.9444444444444198E-3</v>
      </c>
      <c r="K26">
        <v>74.999999999999886</v>
      </c>
      <c r="L26">
        <v>676</v>
      </c>
      <c r="M26">
        <v>454</v>
      </c>
      <c r="N26">
        <v>9.9999999999999645</v>
      </c>
      <c r="P26">
        <f>L26/60</f>
        <v>11.266666666666667</v>
      </c>
      <c r="U26">
        <v>0.2993055555555556</v>
      </c>
      <c r="V26">
        <f t="shared" si="6"/>
        <v>431.00000000000006</v>
      </c>
    </row>
    <row r="27" spans="1:22">
      <c r="A27" s="2">
        <v>1.1659722222222222</v>
      </c>
      <c r="B27" s="3">
        <f t="shared" si="4"/>
        <v>2.5694444444444464E-2</v>
      </c>
      <c r="C27" s="1">
        <v>0.25</v>
      </c>
      <c r="D27" s="1">
        <f t="shared" si="7"/>
        <v>3.0555555555555558E-2</v>
      </c>
      <c r="E27" s="4"/>
      <c r="G27" s="2">
        <v>1.9166666666666667</v>
      </c>
      <c r="H27" s="1">
        <f t="shared" si="5"/>
        <v>3.1944444444444331E-2</v>
      </c>
      <c r="K27">
        <v>37.000000000000028</v>
      </c>
      <c r="L27">
        <v>156.00000000000009</v>
      </c>
      <c r="M27">
        <v>302.00000000000011</v>
      </c>
      <c r="N27">
        <v>45.999999999999837</v>
      </c>
      <c r="U27">
        <v>1.6666666666666829E-2</v>
      </c>
      <c r="V27">
        <f t="shared" si="6"/>
        <v>24.000000000000234</v>
      </c>
    </row>
    <row r="28" spans="1:22">
      <c r="A28" s="2">
        <v>1.1916666666666667</v>
      </c>
      <c r="B28" s="3">
        <f t="shared" si="4"/>
        <v>1.6666666666666607E-2</v>
      </c>
      <c r="C28" s="1">
        <v>0.28055555555555556</v>
      </c>
      <c r="D28" s="1">
        <f t="shared" si="7"/>
        <v>0.46944444444444444</v>
      </c>
      <c r="E28" s="1">
        <v>0.17430555555555557</v>
      </c>
      <c r="F28" s="1">
        <f>E29-E28</f>
        <v>0.31527777777777777</v>
      </c>
      <c r="G28" s="2">
        <v>1.9486111111111111</v>
      </c>
      <c r="H28" s="1">
        <f t="shared" si="5"/>
        <v>4.4444444444444509E-2</v>
      </c>
      <c r="K28">
        <v>23.999999999999915</v>
      </c>
      <c r="L28">
        <v>649.00000000000011</v>
      </c>
      <c r="M28">
        <v>406.99999999999983</v>
      </c>
      <c r="N28">
        <v>64.000000000000085</v>
      </c>
      <c r="U28">
        <v>5.8333333333333348E-2</v>
      </c>
      <c r="V28">
        <f t="shared" si="6"/>
        <v>84.000000000000028</v>
      </c>
    </row>
    <row r="29" spans="1:22">
      <c r="A29" s="2">
        <v>1.2083333333333333</v>
      </c>
      <c r="B29" s="3">
        <f t="shared" si="4"/>
        <v>4.861111111111116E-2</v>
      </c>
      <c r="C29" s="1">
        <v>0.75</v>
      </c>
      <c r="D29" s="1">
        <f t="shared" si="7"/>
        <v>0.10833333333333339</v>
      </c>
      <c r="E29" s="1">
        <v>0.48958333333333331</v>
      </c>
      <c r="F29" s="1">
        <f t="shared" ref="F29:F35" si="8">E30-E29</f>
        <v>0.20972222222222231</v>
      </c>
      <c r="G29" s="2">
        <v>1.9930555555555556</v>
      </c>
      <c r="H29" s="1">
        <f t="shared" si="5"/>
        <v>2.9166666666666563E-2</v>
      </c>
      <c r="K29">
        <v>70.000000000000071</v>
      </c>
      <c r="L29">
        <v>43.999999999999844</v>
      </c>
      <c r="M29">
        <v>336.00000000000023</v>
      </c>
      <c r="N29">
        <v>41.999999999999851</v>
      </c>
      <c r="U29">
        <v>5.4861111111111027E-2</v>
      </c>
      <c r="V29">
        <f t="shared" si="6"/>
        <v>78.999999999999886</v>
      </c>
    </row>
    <row r="30" spans="1:22">
      <c r="A30" s="2">
        <v>1.2569444444444444</v>
      </c>
      <c r="B30" s="3">
        <f t="shared" si="4"/>
        <v>5.555555555555558E-2</v>
      </c>
      <c r="C30" s="1">
        <v>0.85833333333333339</v>
      </c>
      <c r="D30" s="1">
        <f t="shared" si="7"/>
        <v>0.45069444444444451</v>
      </c>
      <c r="E30" s="1">
        <v>0.69930555555555562</v>
      </c>
      <c r="F30" s="1">
        <f t="shared" si="8"/>
        <v>0.28263888888888877</v>
      </c>
      <c r="G30" s="2">
        <v>2.0222222222222221</v>
      </c>
      <c r="H30" s="1">
        <f t="shared" si="5"/>
        <v>9.5833333333333659E-2</v>
      </c>
      <c r="K30">
        <v>80.000000000000028</v>
      </c>
      <c r="L30">
        <v>74.000000000000057</v>
      </c>
      <c r="M30">
        <v>106.99999999999977</v>
      </c>
      <c r="N30">
        <v>138.00000000000045</v>
      </c>
      <c r="U30">
        <v>0.11874999999999991</v>
      </c>
      <c r="V30">
        <f t="shared" si="6"/>
        <v>170.99999999999989</v>
      </c>
    </row>
    <row r="31" spans="1:22">
      <c r="A31" s="2">
        <v>1.3125</v>
      </c>
      <c r="B31" s="3">
        <f t="shared" si="4"/>
        <v>1.3194444444444509E-2</v>
      </c>
      <c r="C31" s="2">
        <v>1.3090277777777779</v>
      </c>
      <c r="D31" s="1">
        <f t="shared" si="7"/>
        <v>3.0555555555555447E-2</v>
      </c>
      <c r="E31" s="1">
        <v>0.9819444444444444</v>
      </c>
      <c r="F31" s="1">
        <f t="shared" si="8"/>
        <v>0.2333333333333335</v>
      </c>
      <c r="G31" s="2">
        <v>2.1180555555555558</v>
      </c>
      <c r="H31" s="1">
        <f t="shared" si="5"/>
        <v>6.2499999999996447E-3</v>
      </c>
      <c r="K31">
        <v>19.000000000000092</v>
      </c>
      <c r="M31">
        <v>167.0000000000002</v>
      </c>
      <c r="N31">
        <v>8.9999999999994884</v>
      </c>
      <c r="U31">
        <v>1.9444444444444597E-2</v>
      </c>
      <c r="V31">
        <f t="shared" si="6"/>
        <v>28.00000000000022</v>
      </c>
    </row>
    <row r="32" spans="1:22">
      <c r="A32" s="2">
        <v>1.3256944444444445</v>
      </c>
      <c r="B32" s="3">
        <f t="shared" si="4"/>
        <v>2.1527777777777812E-2</v>
      </c>
      <c r="C32" s="2">
        <v>1.3395833333333333</v>
      </c>
      <c r="D32" s="1">
        <f t="shared" si="7"/>
        <v>5.1388888888888928E-2</v>
      </c>
      <c r="E32" s="2">
        <v>1.2152777777777779</v>
      </c>
      <c r="F32" s="1">
        <f t="shared" si="8"/>
        <v>7.4305555555555403E-2</v>
      </c>
      <c r="G32" s="2">
        <v>2.1243055555555554</v>
      </c>
      <c r="H32" s="1">
        <f t="shared" si="5"/>
        <v>7.6388888888887507E-3</v>
      </c>
      <c r="K32">
        <v>31.00000000000005</v>
      </c>
      <c r="M32">
        <v>7.9999999999999716</v>
      </c>
      <c r="N32">
        <v>10.999999999999801</v>
      </c>
      <c r="U32">
        <v>5.5555555555555358E-2</v>
      </c>
      <c r="V32">
        <f t="shared" si="6"/>
        <v>79.999999999999716</v>
      </c>
    </row>
    <row r="33" spans="1:22">
      <c r="A33" s="2">
        <v>1.3472222222222223</v>
      </c>
      <c r="B33" s="3">
        <f t="shared" si="4"/>
        <v>3.125E-2</v>
      </c>
      <c r="C33" s="2">
        <v>1.3909722222222223</v>
      </c>
      <c r="D33" s="1"/>
      <c r="E33" s="2">
        <v>1.2895833333333333</v>
      </c>
      <c r="F33" s="1">
        <f t="shared" si="8"/>
        <v>0.11597222222222237</v>
      </c>
      <c r="G33" s="2">
        <v>2.1319444444444442</v>
      </c>
      <c r="H33" s="1">
        <f t="shared" si="5"/>
        <v>0.2347222222222225</v>
      </c>
      <c r="K33">
        <v>45</v>
      </c>
      <c r="M33">
        <v>61.99999999999978</v>
      </c>
      <c r="N33">
        <v>338.0000000000004</v>
      </c>
      <c r="U33">
        <v>0.29513888888888906</v>
      </c>
      <c r="V33">
        <f t="shared" si="6"/>
        <v>425.00000000000023</v>
      </c>
    </row>
    <row r="34" spans="1:22">
      <c r="A34" s="2">
        <v>1.3784722222222223</v>
      </c>
      <c r="B34" s="3">
        <f t="shared" si="4"/>
        <v>0.14236111111111094</v>
      </c>
      <c r="E34" s="2">
        <v>1.4055555555555557</v>
      </c>
      <c r="F34" s="1">
        <f t="shared" si="8"/>
        <v>5.5555555555555358E-3</v>
      </c>
      <c r="G34" s="2">
        <v>2.3666666666666667</v>
      </c>
      <c r="H34" s="1">
        <f t="shared" si="5"/>
        <v>0.125</v>
      </c>
      <c r="K34">
        <v>204.99999999999974</v>
      </c>
      <c r="N34">
        <v>180</v>
      </c>
      <c r="U34">
        <v>1.9444444444444375E-2</v>
      </c>
      <c r="V34">
        <f t="shared" si="6"/>
        <v>27.999999999999901</v>
      </c>
    </row>
    <row r="35" spans="1:22">
      <c r="A35" s="2">
        <v>1.5208333333333333</v>
      </c>
      <c r="B35" s="3">
        <f t="shared" si="4"/>
        <v>2.0833333333333481E-2</v>
      </c>
      <c r="E35" s="2">
        <v>1.4111111111111112</v>
      </c>
      <c r="F35" s="1">
        <f t="shared" si="8"/>
        <v>4.3055555555555403E-2</v>
      </c>
      <c r="G35" s="2">
        <v>2.4916666666666667</v>
      </c>
      <c r="H35" s="1">
        <f t="shared" si="5"/>
        <v>4.1666666666664298E-3</v>
      </c>
      <c r="K35">
        <v>30.000000000000213</v>
      </c>
      <c r="N35">
        <v>5.9999999999996589</v>
      </c>
      <c r="U35">
        <v>0.29166666666666674</v>
      </c>
      <c r="V35">
        <f t="shared" si="6"/>
        <v>420.00000000000011</v>
      </c>
    </row>
    <row r="36" spans="1:22">
      <c r="A36" s="2">
        <v>1.5416666666666667</v>
      </c>
      <c r="B36" s="3">
        <f t="shared" si="4"/>
        <v>6.9444444444433095E-4</v>
      </c>
      <c r="E36" s="2">
        <v>1.4541666666666666</v>
      </c>
      <c r="F36" s="1"/>
      <c r="G36" s="2">
        <v>2.4958333333333331</v>
      </c>
      <c r="H36" s="1">
        <f t="shared" si="5"/>
        <v>3.4722222222223209E-3</v>
      </c>
      <c r="K36">
        <v>0.99999999999983658</v>
      </c>
      <c r="N36">
        <v>5.0000000000001421</v>
      </c>
      <c r="U36">
        <v>0.10208333333333333</v>
      </c>
    </row>
    <row r="37" spans="1:22">
      <c r="A37" s="2">
        <v>1.5423611111111111</v>
      </c>
      <c r="B37" s="3">
        <f t="shared" si="4"/>
        <v>7.3611111111111072E-2</v>
      </c>
      <c r="G37" s="2">
        <v>2.4993055555555554</v>
      </c>
      <c r="H37" s="4"/>
      <c r="K37">
        <v>105.99999999999994</v>
      </c>
      <c r="N37">
        <v>80</v>
      </c>
      <c r="U37">
        <v>8.6805555555555552E-2</v>
      </c>
    </row>
    <row r="38" spans="1:22">
      <c r="A38" s="2">
        <v>1.6159722222222221</v>
      </c>
      <c r="B38" s="3">
        <f t="shared" si="4"/>
        <v>2.2916666666666918E-2</v>
      </c>
      <c r="G38" s="4"/>
      <c r="K38">
        <v>33.000000000000362</v>
      </c>
      <c r="N38">
        <v>55.000000000000043</v>
      </c>
      <c r="U38">
        <v>3.0555555555555558E-2</v>
      </c>
    </row>
    <row r="39" spans="1:22">
      <c r="A39" s="2">
        <v>1.6388888888888891</v>
      </c>
      <c r="B39" s="3">
        <f t="shared" si="4"/>
        <v>1.5277777777777724E-2</v>
      </c>
      <c r="G39" s="1">
        <v>0.1111111111111111</v>
      </c>
      <c r="H39" s="1">
        <f>G40-G39</f>
        <v>5.5555555555555552E-2</v>
      </c>
      <c r="K39">
        <v>21.999999999999922</v>
      </c>
      <c r="N39">
        <v>94.999999999999943</v>
      </c>
      <c r="U39">
        <v>0.46944444444444444</v>
      </c>
    </row>
    <row r="40" spans="1:22">
      <c r="A40" s="2">
        <v>1.6541666666666668</v>
      </c>
      <c r="B40" s="3">
        <f t="shared" si="4"/>
        <v>0.11458333333333326</v>
      </c>
      <c r="G40" s="1">
        <v>0.16666666666666666</v>
      </c>
      <c r="H40" s="1">
        <f t="shared" ref="H40:H65" si="9">G41-G40</f>
        <v>3.8194444444444475E-2</v>
      </c>
      <c r="K40">
        <v>164.99999999999989</v>
      </c>
      <c r="N40">
        <v>20.000000000000007</v>
      </c>
      <c r="U40">
        <v>0.10833333333333339</v>
      </c>
    </row>
    <row r="41" spans="1:22">
      <c r="A41" s="2">
        <v>1.76875</v>
      </c>
      <c r="B41" s="3">
        <f t="shared" si="4"/>
        <v>0.13194444444444442</v>
      </c>
      <c r="G41" s="1">
        <v>0.20486111111111113</v>
      </c>
      <c r="H41" s="1">
        <f t="shared" si="9"/>
        <v>6.5972222222222182E-2</v>
      </c>
      <c r="K41">
        <v>189.99999999999997</v>
      </c>
      <c r="N41">
        <v>65.000000000000014</v>
      </c>
      <c r="U41">
        <v>0.45069444444444451</v>
      </c>
    </row>
    <row r="42" spans="1:22">
      <c r="A42" s="2">
        <v>1.9006944444444445</v>
      </c>
      <c r="B42" s="3">
        <f t="shared" si="4"/>
        <v>0</v>
      </c>
      <c r="G42" s="1">
        <v>0.27083333333333331</v>
      </c>
      <c r="H42" s="1">
        <f t="shared" si="9"/>
        <v>1.3888888888888895E-2</v>
      </c>
      <c r="K42">
        <v>0</v>
      </c>
      <c r="N42">
        <v>61.999999999999943</v>
      </c>
      <c r="U42">
        <v>3.0555555555555447E-2</v>
      </c>
    </row>
    <row r="43" spans="1:22">
      <c r="A43" s="2">
        <v>1.9006944444444445</v>
      </c>
      <c r="B43" s="3">
        <f t="shared" si="4"/>
        <v>6.9444444444433095E-4</v>
      </c>
      <c r="G43" s="1">
        <v>0.28472222222222221</v>
      </c>
      <c r="H43" s="1">
        <f t="shared" si="9"/>
        <v>4.5138888888888895E-2</v>
      </c>
      <c r="K43">
        <v>0.99999999999983658</v>
      </c>
      <c r="N43">
        <v>65.000000000000085</v>
      </c>
      <c r="U43">
        <v>5.1388888888888928E-2</v>
      </c>
    </row>
    <row r="44" spans="1:22">
      <c r="A44" s="2">
        <v>1.9013888888888888</v>
      </c>
      <c r="B44" s="3">
        <f t="shared" si="4"/>
        <v>1.5277777777777946E-2</v>
      </c>
      <c r="G44" s="1">
        <v>0.3298611111111111</v>
      </c>
      <c r="H44" s="1">
        <f t="shared" si="9"/>
        <v>4.3055555555555514E-2</v>
      </c>
      <c r="K44">
        <v>22.000000000000242</v>
      </c>
      <c r="N44">
        <v>76.000000000000057</v>
      </c>
    </row>
    <row r="45" spans="1:22">
      <c r="A45" s="2">
        <v>1.9166666666666667</v>
      </c>
      <c r="B45" s="3">
        <f t="shared" si="4"/>
        <v>1.9444444444444375E-2</v>
      </c>
      <c r="G45" s="1">
        <v>0.37291666666666662</v>
      </c>
      <c r="H45" s="1">
        <f t="shared" si="9"/>
        <v>4.5138888888888951E-2</v>
      </c>
      <c r="K45">
        <v>27.999999999999901</v>
      </c>
      <c r="N45">
        <v>94.999999999999901</v>
      </c>
    </row>
    <row r="46" spans="1:22">
      <c r="A46" s="2">
        <v>1.9361111111111111</v>
      </c>
      <c r="B46" s="3">
        <f t="shared" si="4"/>
        <v>4.7222222222222276E-2</v>
      </c>
      <c r="G46" s="1">
        <v>0.41805555555555557</v>
      </c>
      <c r="H46" s="1">
        <f t="shared" si="9"/>
        <v>5.2777777777777812E-2</v>
      </c>
      <c r="K46">
        <v>68.000000000000085</v>
      </c>
      <c r="N46">
        <v>28.00000000000006</v>
      </c>
    </row>
    <row r="47" spans="1:22">
      <c r="A47" s="2">
        <v>1.9833333333333334</v>
      </c>
      <c r="B47" s="3">
        <f t="shared" si="4"/>
        <v>3.7500000000000089E-2</v>
      </c>
      <c r="G47" s="1">
        <v>0.47083333333333338</v>
      </c>
      <c r="H47" s="1">
        <f t="shared" si="9"/>
        <v>6.5972222222222154E-2</v>
      </c>
      <c r="K47">
        <v>54.000000000000128</v>
      </c>
      <c r="N47">
        <v>33.000000000000043</v>
      </c>
    </row>
    <row r="48" spans="1:22">
      <c r="A48" s="2">
        <v>2.0208333333333335</v>
      </c>
      <c r="B48" s="3">
        <f t="shared" si="4"/>
        <v>8.5416666666666252E-2</v>
      </c>
      <c r="G48" s="1">
        <v>0.53680555555555554</v>
      </c>
      <c r="H48" s="1">
        <f t="shared" si="9"/>
        <v>1.9444444444444486E-2</v>
      </c>
      <c r="K48">
        <v>122.9999999999994</v>
      </c>
      <c r="N48">
        <v>5.9999999999999787</v>
      </c>
    </row>
    <row r="49" spans="1:14">
      <c r="A49" s="2">
        <v>2.1062499999999997</v>
      </c>
      <c r="B49" s="3">
        <f t="shared" si="4"/>
        <v>9.0277777777778567E-3</v>
      </c>
      <c r="G49" s="1">
        <v>0.55625000000000002</v>
      </c>
      <c r="H49" s="1">
        <f t="shared" si="9"/>
        <v>2.2916666666666696E-2</v>
      </c>
      <c r="K49">
        <v>13.000000000000114</v>
      </c>
      <c r="N49">
        <v>11.999999999999957</v>
      </c>
    </row>
    <row r="50" spans="1:14">
      <c r="A50" s="2">
        <v>2.1152777777777776</v>
      </c>
      <c r="B50" s="3">
        <f t="shared" si="4"/>
        <v>9.3055555555555891E-2</v>
      </c>
      <c r="G50" s="1">
        <v>0.57916666666666672</v>
      </c>
      <c r="H50" s="1">
        <f t="shared" si="9"/>
        <v>4.1666666666666519E-3</v>
      </c>
      <c r="K50">
        <v>134.00000000000048</v>
      </c>
      <c r="N50">
        <v>112.99999999999991</v>
      </c>
    </row>
    <row r="51" spans="1:14">
      <c r="A51" s="2">
        <v>2.2083333333333335</v>
      </c>
      <c r="B51" s="3">
        <f t="shared" si="4"/>
        <v>1.388888888888884E-2</v>
      </c>
      <c r="G51" s="1">
        <v>0.58333333333333337</v>
      </c>
      <c r="H51" s="1">
        <f t="shared" si="9"/>
        <v>8.3333333333333037E-3</v>
      </c>
      <c r="K51">
        <v>19.999999999999929</v>
      </c>
      <c r="N51">
        <v>10.000000000000124</v>
      </c>
    </row>
    <row r="52" spans="1:14">
      <c r="A52" s="2">
        <v>2.2222222222222223</v>
      </c>
      <c r="B52" s="3">
        <f t="shared" si="4"/>
        <v>0.12708333333333321</v>
      </c>
      <c r="G52" s="1">
        <v>0.59166666666666667</v>
      </c>
      <c r="H52" s="1">
        <f t="shared" si="9"/>
        <v>7.8472222222222165E-2</v>
      </c>
      <c r="K52">
        <v>182.99999999999983</v>
      </c>
      <c r="N52">
        <v>32.000000000000043</v>
      </c>
    </row>
    <row r="53" spans="1:14">
      <c r="A53" s="2">
        <v>2.3493055555555555</v>
      </c>
      <c r="B53" s="3">
        <f t="shared" si="4"/>
        <v>0.11597222222222214</v>
      </c>
      <c r="G53" s="1">
        <v>0.67013888888888884</v>
      </c>
      <c r="H53" s="1">
        <f t="shared" si="9"/>
        <v>6.9444444444445308E-3</v>
      </c>
      <c r="K53">
        <v>166.99999999999989</v>
      </c>
      <c r="N53">
        <v>186.99999999999983</v>
      </c>
    </row>
    <row r="54" spans="1:14">
      <c r="A54" s="2">
        <v>2.4652777777777777</v>
      </c>
      <c r="B54" s="3">
        <f t="shared" si="4"/>
        <v>5.5555555555555358E-3</v>
      </c>
      <c r="G54" s="1">
        <v>0.67708333333333337</v>
      </c>
      <c r="H54" s="1">
        <f t="shared" si="9"/>
        <v>2.2222222222222254E-2</v>
      </c>
      <c r="K54">
        <v>7.9999999999999716</v>
      </c>
      <c r="N54">
        <v>149.00000000000011</v>
      </c>
    </row>
    <row r="55" spans="1:14">
      <c r="A55" s="2">
        <v>2.4708333333333332</v>
      </c>
      <c r="B55" s="3">
        <f t="shared" si="4"/>
        <v>3.4722222222223209E-3</v>
      </c>
      <c r="G55" s="1">
        <v>0.69930555555555562</v>
      </c>
      <c r="H55" s="1">
        <f t="shared" si="9"/>
        <v>0.12986111111111098</v>
      </c>
      <c r="K55">
        <v>5.0000000000001421</v>
      </c>
      <c r="N55">
        <v>19.999999999999929</v>
      </c>
    </row>
    <row r="56" spans="1:14">
      <c r="A56" s="2">
        <v>2.4743055555555555</v>
      </c>
      <c r="B56" s="4"/>
      <c r="G56" s="1">
        <v>0.82916666666666661</v>
      </c>
      <c r="H56" s="1">
        <f t="shared" si="9"/>
        <v>0.1034722222222223</v>
      </c>
      <c r="K56">
        <v>78.999999999999986</v>
      </c>
      <c r="N56">
        <v>87.000000000000014</v>
      </c>
    </row>
    <row r="57" spans="1:14">
      <c r="A57" s="4"/>
      <c r="G57" s="1">
        <v>0.93263888888888891</v>
      </c>
      <c r="H57" s="1">
        <f t="shared" si="9"/>
        <v>1.388888888888884E-2</v>
      </c>
      <c r="K57">
        <v>93.000000000000014</v>
      </c>
      <c r="N57">
        <v>199.99999999999994</v>
      </c>
    </row>
    <row r="58" spans="1:14">
      <c r="A58" s="1">
        <v>3.6111111111111115E-2</v>
      </c>
      <c r="B58" s="1">
        <f>A59-A58</f>
        <v>5.4861111111111104E-2</v>
      </c>
      <c r="G58" s="1">
        <v>0.94652777777777775</v>
      </c>
      <c r="H58" s="1">
        <f t="shared" si="9"/>
        <v>6.0416666666666674E-2</v>
      </c>
      <c r="K58">
        <v>46</v>
      </c>
      <c r="N58">
        <v>25.000000000000071</v>
      </c>
    </row>
    <row r="59" spans="1:14">
      <c r="A59" s="1">
        <v>9.0972222222222218E-2</v>
      </c>
      <c r="B59" s="1">
        <f t="shared" ref="B59:B87" si="10">A60-A59</f>
        <v>6.458333333333334E-2</v>
      </c>
      <c r="G59" s="2">
        <v>1.0069444444444444</v>
      </c>
      <c r="H59" s="1">
        <f t="shared" si="9"/>
        <v>0.13888888888888884</v>
      </c>
      <c r="K59">
        <v>67.000000000000043</v>
      </c>
      <c r="N59">
        <v>97.999999999999972</v>
      </c>
    </row>
    <row r="60" spans="1:14">
      <c r="A60" s="1">
        <v>0.15555555555555556</v>
      </c>
      <c r="B60" s="1">
        <f t="shared" si="10"/>
        <v>3.1944444444444442E-2</v>
      </c>
      <c r="G60" s="2">
        <v>1.1458333333333333</v>
      </c>
      <c r="H60" s="1">
        <f t="shared" si="9"/>
        <v>1.736111111111116E-2</v>
      </c>
      <c r="K60">
        <v>6.9999999999999751</v>
      </c>
      <c r="N60">
        <v>169.0000000000002</v>
      </c>
    </row>
    <row r="61" spans="1:14">
      <c r="A61" s="1">
        <v>0.1875</v>
      </c>
      <c r="B61" s="1">
        <f t="shared" si="10"/>
        <v>4.6527777777777807E-2</v>
      </c>
      <c r="G61" s="2">
        <v>1.1631944444444444</v>
      </c>
      <c r="H61" s="1">
        <f t="shared" si="9"/>
        <v>6.8055555555555536E-2</v>
      </c>
      <c r="K61">
        <v>45.999999999999957</v>
      </c>
      <c r="N61">
        <v>21.000000000000085</v>
      </c>
    </row>
    <row r="62" spans="1:14">
      <c r="A62" s="1">
        <v>0.23402777777777781</v>
      </c>
      <c r="B62" s="1">
        <f t="shared" si="10"/>
        <v>4.8611111111110938E-3</v>
      </c>
      <c r="G62" s="2">
        <v>1.23125</v>
      </c>
      <c r="H62" s="1">
        <f t="shared" si="9"/>
        <v>0.11736111111111125</v>
      </c>
      <c r="K62">
        <v>10.000000000000044</v>
      </c>
      <c r="N62">
        <v>75.99999999999973</v>
      </c>
    </row>
    <row r="63" spans="1:14">
      <c r="A63" s="1">
        <v>0.2388888888888889</v>
      </c>
      <c r="B63" s="1">
        <f t="shared" si="10"/>
        <v>3.1944444444444414E-2</v>
      </c>
      <c r="G63" s="2">
        <v>1.3486111111111112</v>
      </c>
      <c r="H63" s="1">
        <f t="shared" si="9"/>
        <v>1.4583333333333393E-2</v>
      </c>
      <c r="K63">
        <v>22</v>
      </c>
      <c r="N63">
        <v>67.000000000000242</v>
      </c>
    </row>
    <row r="64" spans="1:14">
      <c r="A64" s="1">
        <v>0.27083333333333331</v>
      </c>
      <c r="B64" s="1">
        <f t="shared" si="10"/>
        <v>6.9444444444444753E-3</v>
      </c>
      <c r="G64" s="2">
        <v>1.3631944444444446</v>
      </c>
      <c r="H64" s="1">
        <f t="shared" si="9"/>
        <v>5.277777777777759E-2</v>
      </c>
      <c r="K64">
        <v>19.999999999999929</v>
      </c>
    </row>
    <row r="65" spans="1:11">
      <c r="A65" s="1">
        <v>0.27777777777777779</v>
      </c>
      <c r="B65" s="1">
        <f t="shared" si="10"/>
        <v>1.5277777777777779E-2</v>
      </c>
      <c r="G65" s="2">
        <v>1.4159722222222222</v>
      </c>
      <c r="H65" s="1">
        <f t="shared" si="9"/>
        <v>4.6527777777777946E-2</v>
      </c>
      <c r="K65">
        <v>12.000000000000037</v>
      </c>
    </row>
    <row r="66" spans="1:11">
      <c r="A66" s="1">
        <v>0.29305555555555557</v>
      </c>
      <c r="B66" s="1">
        <f t="shared" si="10"/>
        <v>1.388888888888884E-2</v>
      </c>
      <c r="G66" s="2">
        <v>1.4625000000000001</v>
      </c>
      <c r="H66" s="1"/>
      <c r="K66">
        <v>41.000000000000014</v>
      </c>
    </row>
    <row r="67" spans="1:11">
      <c r="A67" s="1">
        <v>0.30694444444444441</v>
      </c>
      <c r="B67" s="1">
        <f t="shared" si="10"/>
        <v>8.3333333333333592E-3</v>
      </c>
      <c r="K67">
        <v>97.999999999999972</v>
      </c>
    </row>
    <row r="68" spans="1:11">
      <c r="A68" s="1">
        <v>0.31527777777777777</v>
      </c>
      <c r="B68" s="1">
        <f t="shared" si="10"/>
        <v>2.8472222222222232E-2</v>
      </c>
      <c r="K68">
        <v>103.00000000000003</v>
      </c>
    </row>
    <row r="69" spans="1:11">
      <c r="A69" s="1">
        <v>0.34375</v>
      </c>
      <c r="B69" s="1">
        <f t="shared" si="10"/>
        <v>6.8055555555555536E-2</v>
      </c>
      <c r="K69">
        <v>48.999999999999901</v>
      </c>
    </row>
    <row r="70" spans="1:11">
      <c r="A70" s="1">
        <v>0.41180555555555554</v>
      </c>
      <c r="B70" s="1">
        <f t="shared" si="10"/>
        <v>7.1527777777777801E-2</v>
      </c>
      <c r="K70">
        <v>71.000000000000071</v>
      </c>
    </row>
    <row r="71" spans="1:11">
      <c r="A71" s="1">
        <v>0.48333333333333334</v>
      </c>
      <c r="B71" s="1">
        <f t="shared" si="10"/>
        <v>3.4027777777777712E-2</v>
      </c>
      <c r="K71">
        <v>20.000000000000089</v>
      </c>
    </row>
    <row r="72" spans="1:11">
      <c r="A72" s="1">
        <v>0.51736111111111105</v>
      </c>
      <c r="B72" s="1">
        <f t="shared" si="10"/>
        <v>4.9305555555555602E-2</v>
      </c>
      <c r="K72">
        <v>101.99999999999996</v>
      </c>
    </row>
    <row r="73" spans="1:11">
      <c r="A73" s="1">
        <v>0.56666666666666665</v>
      </c>
      <c r="B73" s="1">
        <f t="shared" si="10"/>
        <v>1.3888888888888951E-2</v>
      </c>
      <c r="K73">
        <v>14.999999999999947</v>
      </c>
    </row>
    <row r="74" spans="1:11">
      <c r="A74" s="1">
        <v>0.5805555555555556</v>
      </c>
      <c r="B74" s="1">
        <f t="shared" si="10"/>
        <v>7.0833333333333304E-2</v>
      </c>
      <c r="K74">
        <v>11.999999999999957</v>
      </c>
    </row>
    <row r="75" spans="1:11">
      <c r="A75" s="1">
        <v>0.65138888888888891</v>
      </c>
      <c r="B75" s="1">
        <f t="shared" si="10"/>
        <v>1.041666666666663E-2</v>
      </c>
      <c r="K75">
        <v>75.000000000000057</v>
      </c>
    </row>
    <row r="76" spans="1:11">
      <c r="A76" s="1">
        <v>0.66180555555555554</v>
      </c>
      <c r="B76" s="1">
        <f t="shared" si="10"/>
        <v>8.3333333333333037E-3</v>
      </c>
      <c r="K76">
        <v>119.99999999999989</v>
      </c>
    </row>
    <row r="77" spans="1:11">
      <c r="A77" s="1">
        <v>0.67013888888888884</v>
      </c>
      <c r="B77" s="1">
        <f t="shared" si="10"/>
        <v>5.208333333333337E-2</v>
      </c>
      <c r="K77">
        <v>55.000000000000128</v>
      </c>
    </row>
    <row r="78" spans="1:11">
      <c r="A78" s="1">
        <v>0.72222222222222221</v>
      </c>
      <c r="B78" s="1">
        <f t="shared" si="10"/>
        <v>8.3333333333333259E-2</v>
      </c>
      <c r="K78">
        <v>75.000000000000057</v>
      </c>
    </row>
    <row r="79" spans="1:11">
      <c r="A79" s="1">
        <v>0.80555555555555547</v>
      </c>
      <c r="B79" s="1">
        <f t="shared" si="10"/>
        <v>3.8194444444444531E-2</v>
      </c>
      <c r="K79">
        <v>29.999999999999893</v>
      </c>
    </row>
    <row r="80" spans="1:11">
      <c r="A80" s="1">
        <v>0.84375</v>
      </c>
      <c r="B80" s="1">
        <f t="shared" si="10"/>
        <v>5.208333333333337E-2</v>
      </c>
      <c r="K80">
        <v>315.00000000000017</v>
      </c>
    </row>
    <row r="81" spans="1:11">
      <c r="A81" s="1">
        <v>0.89583333333333337</v>
      </c>
      <c r="B81" s="1">
        <f t="shared" si="10"/>
        <v>2.0833333333333259E-2</v>
      </c>
      <c r="K81">
        <v>23.999999999999915</v>
      </c>
    </row>
    <row r="82" spans="1:11">
      <c r="A82" s="1">
        <v>0.91666666666666663</v>
      </c>
      <c r="B82" s="1">
        <f t="shared" si="10"/>
        <v>0.21875000000000011</v>
      </c>
      <c r="K82">
        <v>104.99999999999979</v>
      </c>
    </row>
    <row r="83" spans="1:11">
      <c r="A83" s="2">
        <v>1.1354166666666667</v>
      </c>
      <c r="B83" s="1">
        <f t="shared" si="10"/>
        <v>1.6666666666666607E-2</v>
      </c>
      <c r="K83">
        <v>141.00000000000028</v>
      </c>
    </row>
    <row r="84" spans="1:11">
      <c r="A84" s="2">
        <v>1.1520833333333333</v>
      </c>
      <c r="B84" s="1">
        <f t="shared" si="10"/>
        <v>7.2916666666666519E-2</v>
      </c>
      <c r="K84">
        <v>4.9999999999998224</v>
      </c>
    </row>
    <row r="85" spans="1:11">
      <c r="A85" s="2">
        <v>1.2249999999999999</v>
      </c>
      <c r="B85" s="1">
        <f t="shared" si="10"/>
        <v>9.7916666666666874E-2</v>
      </c>
      <c r="K85">
        <v>74.000000000000369</v>
      </c>
    </row>
    <row r="86" spans="1:11">
      <c r="A86" s="2">
        <v>1.3229166666666667</v>
      </c>
      <c r="B86" s="1">
        <f t="shared" si="10"/>
        <v>3.4722222222220989E-3</v>
      </c>
    </row>
    <row r="87" spans="1:11">
      <c r="A87" s="2">
        <v>1.3263888888888888</v>
      </c>
      <c r="B87" s="1">
        <f t="shared" si="10"/>
        <v>5.138888888888915E-2</v>
      </c>
    </row>
    <row r="88" spans="1:11">
      <c r="A88" s="2">
        <v>1.377777777777778</v>
      </c>
      <c r="B8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40"/>
  <sheetViews>
    <sheetView workbookViewId="0"/>
  </sheetViews>
  <sheetFormatPr defaultColWidth="25.7109375" defaultRowHeight="15"/>
  <sheetData>
    <row r="1" spans="1:16">
      <c r="A1" t="s">
        <v>33</v>
      </c>
      <c r="B1" t="s">
        <v>34</v>
      </c>
    </row>
    <row r="2" spans="1:16">
      <c r="A2" t="s">
        <v>35</v>
      </c>
      <c r="B2" t="s">
        <v>36</v>
      </c>
    </row>
    <row r="3" spans="1:16">
      <c r="A3" t="s">
        <v>37</v>
      </c>
      <c r="B3" t="s">
        <v>36</v>
      </c>
    </row>
    <row r="4" spans="1:16">
      <c r="A4" t="s">
        <v>38</v>
      </c>
      <c r="B4" t="s">
        <v>34</v>
      </c>
    </row>
    <row r="9" spans="1:16">
      <c r="A9" t="s">
        <v>39</v>
      </c>
      <c r="B9">
        <v>30</v>
      </c>
    </row>
    <row r="10" spans="1:16">
      <c r="A10" t="s">
        <v>40</v>
      </c>
      <c r="B10" t="s">
        <v>41</v>
      </c>
      <c r="C10" t="s">
        <v>42</v>
      </c>
      <c r="D10" t="s">
        <v>43</v>
      </c>
      <c r="E10" t="s">
        <v>44</v>
      </c>
      <c r="F10" t="s">
        <v>45</v>
      </c>
      <c r="G10" t="s">
        <v>46</v>
      </c>
      <c r="H10" t="s">
        <v>47</v>
      </c>
      <c r="I10" t="s">
        <v>48</v>
      </c>
      <c r="J10" t="s">
        <v>49</v>
      </c>
      <c r="K10" t="s">
        <v>50</v>
      </c>
      <c r="L10" t="s">
        <v>51</v>
      </c>
      <c r="M10" t="s">
        <v>52</v>
      </c>
      <c r="N10" t="s">
        <v>53</v>
      </c>
      <c r="O10" t="s">
        <v>54</v>
      </c>
    </row>
    <row r="11" spans="1:16">
      <c r="A11" t="s">
        <v>55</v>
      </c>
      <c r="B11" s="9" t="s">
        <v>56</v>
      </c>
      <c r="C11" s="1">
        <f>'Area 2'!$B$7:$B$61</f>
        <v>4.0972222222222215E-2</v>
      </c>
      <c r="D11">
        <v>0</v>
      </c>
      <c r="E11" s="9" t="s">
        <v>57</v>
      </c>
      <c r="F11" t="s">
        <v>60</v>
      </c>
      <c r="J11" t="s">
        <v>58</v>
      </c>
      <c r="K11" t="s">
        <v>59</v>
      </c>
      <c r="O11">
        <v>4</v>
      </c>
      <c r="P11" t="b">
        <v>1</v>
      </c>
    </row>
    <row r="12" spans="1:16">
      <c r="A12" t="s">
        <v>70</v>
      </c>
      <c r="B12" s="9" t="s">
        <v>61</v>
      </c>
      <c r="C12" t="e">
        <f>'Area 2'!$J$23:$J$77</f>
        <v>#VALUE!</v>
      </c>
      <c r="D12">
        <v>0</v>
      </c>
      <c r="E12" s="9" t="s">
        <v>57</v>
      </c>
      <c r="F12" t="s">
        <v>71</v>
      </c>
      <c r="J12" t="s">
        <v>58</v>
      </c>
      <c r="K12" t="s">
        <v>59</v>
      </c>
      <c r="O12">
        <v>4</v>
      </c>
      <c r="P12" t="b">
        <v>1</v>
      </c>
    </row>
    <row r="13" spans="1:16">
      <c r="A13" t="s">
        <v>72</v>
      </c>
      <c r="B13" s="9" t="s">
        <v>62</v>
      </c>
      <c r="C13" t="e">
        <f>'Area 2'!$K$23:$K$36</f>
        <v>#VALUE!</v>
      </c>
      <c r="D13">
        <v>0</v>
      </c>
      <c r="E13" s="9" t="s">
        <v>57</v>
      </c>
      <c r="F13" t="s">
        <v>73</v>
      </c>
      <c r="J13" t="s">
        <v>58</v>
      </c>
      <c r="K13" t="s">
        <v>59</v>
      </c>
      <c r="O13">
        <v>4</v>
      </c>
      <c r="P13" t="b">
        <v>1</v>
      </c>
    </row>
    <row r="14" spans="1:16">
      <c r="A14" t="s">
        <v>74</v>
      </c>
      <c r="B14" s="9" t="s">
        <v>63</v>
      </c>
      <c r="C14" t="e">
        <f>'Area 2'!$L$23:$L$36</f>
        <v>#VALUE!</v>
      </c>
      <c r="D14">
        <v>0</v>
      </c>
      <c r="E14" s="9" t="s">
        <v>57</v>
      </c>
      <c r="F14" t="s">
        <v>75</v>
      </c>
      <c r="J14" t="s">
        <v>58</v>
      </c>
      <c r="K14" t="s">
        <v>59</v>
      </c>
      <c r="O14">
        <v>4</v>
      </c>
      <c r="P14" t="b">
        <v>1</v>
      </c>
    </row>
    <row r="15" spans="1:16">
      <c r="A15" t="s">
        <v>76</v>
      </c>
      <c r="B15" s="9" t="s">
        <v>18</v>
      </c>
      <c r="C15" t="e">
        <f>'Area 2'!$M$23:$M$71</f>
        <v>#VALUE!</v>
      </c>
      <c r="D15">
        <v>0</v>
      </c>
      <c r="E15" s="9" t="s">
        <v>57</v>
      </c>
      <c r="F15" t="s">
        <v>77</v>
      </c>
      <c r="J15" t="s">
        <v>58</v>
      </c>
      <c r="K15" t="s">
        <v>59</v>
      </c>
      <c r="O15">
        <v>4</v>
      </c>
      <c r="P15" t="b">
        <v>1</v>
      </c>
    </row>
    <row r="16" spans="1:16">
      <c r="A16" t="s">
        <v>80</v>
      </c>
      <c r="B16" s="9" t="s">
        <v>81</v>
      </c>
      <c r="C16" t="e">
        <f>'Area 2'!$J$79:$J$125</f>
        <v>#VALUE!</v>
      </c>
      <c r="D16">
        <v>0</v>
      </c>
      <c r="E16" s="9" t="s">
        <v>57</v>
      </c>
      <c r="F16" t="s">
        <v>82</v>
      </c>
      <c r="J16" t="s">
        <v>58</v>
      </c>
      <c r="K16" t="s">
        <v>59</v>
      </c>
      <c r="O16">
        <v>4</v>
      </c>
      <c r="P16" t="b">
        <v>1</v>
      </c>
    </row>
    <row r="17" spans="1:16">
      <c r="A17" t="s">
        <v>83</v>
      </c>
      <c r="B17" s="9" t="s">
        <v>84</v>
      </c>
      <c r="C17" t="e">
        <f>'Area 2'!$K$38:$K$44</f>
        <v>#VALUE!</v>
      </c>
      <c r="D17">
        <v>0</v>
      </c>
      <c r="E17" s="9" t="s">
        <v>57</v>
      </c>
      <c r="F17" t="s">
        <v>85</v>
      </c>
      <c r="J17" t="s">
        <v>58</v>
      </c>
      <c r="K17" t="s">
        <v>59</v>
      </c>
      <c r="O17">
        <v>4</v>
      </c>
      <c r="P17" t="b">
        <v>1</v>
      </c>
    </row>
    <row r="18" spans="1:16">
      <c r="A18" t="s">
        <v>100</v>
      </c>
      <c r="B18" s="9" t="s">
        <v>101</v>
      </c>
      <c r="C18" t="e">
        <f>'Area 2'!$L$38:$L$42</f>
        <v>#VALUE!</v>
      </c>
      <c r="D18">
        <v>0</v>
      </c>
      <c r="E18" s="9" t="s">
        <v>57</v>
      </c>
      <c r="F18" t="s">
        <v>102</v>
      </c>
      <c r="J18" t="s">
        <v>58</v>
      </c>
      <c r="K18" t="s">
        <v>59</v>
      </c>
      <c r="O18">
        <v>4</v>
      </c>
      <c r="P18" t="b">
        <v>1</v>
      </c>
    </row>
    <row r="19" spans="1:16">
      <c r="A19" t="s">
        <v>103</v>
      </c>
      <c r="B19" s="9" t="s">
        <v>104</v>
      </c>
      <c r="C19" t="e">
        <f>'Area 2'!$M$73:$M$114</f>
        <v>#VALUE!</v>
      </c>
      <c r="D19">
        <v>0</v>
      </c>
      <c r="E19" s="9" t="s">
        <v>57</v>
      </c>
      <c r="F19" t="s">
        <v>105</v>
      </c>
      <c r="J19" t="s">
        <v>58</v>
      </c>
      <c r="K19" t="s">
        <v>59</v>
      </c>
      <c r="O19">
        <v>4</v>
      </c>
      <c r="P19" t="b">
        <v>1</v>
      </c>
    </row>
    <row r="20" spans="1:16">
      <c r="A20" t="s">
        <v>106</v>
      </c>
      <c r="B20" s="9" t="s">
        <v>107</v>
      </c>
      <c r="C20" t="e">
        <f>'Area 2'!$P$28:$P$129</f>
        <v>#VALUE!</v>
      </c>
      <c r="D20">
        <v>0</v>
      </c>
      <c r="E20" s="9" t="s">
        <v>57</v>
      </c>
      <c r="F20" t="s">
        <v>108</v>
      </c>
      <c r="J20" t="s">
        <v>58</v>
      </c>
      <c r="K20" t="s">
        <v>59</v>
      </c>
      <c r="O20">
        <v>4</v>
      </c>
      <c r="P20" t="b">
        <v>1</v>
      </c>
    </row>
    <row r="21" spans="1:16">
      <c r="A21" t="s">
        <v>109</v>
      </c>
      <c r="B21" s="9" t="s">
        <v>92</v>
      </c>
      <c r="C21" t="e">
        <f>'Area 2'!$Q$28:$Q$48</f>
        <v>#VALUE!</v>
      </c>
      <c r="D21">
        <v>0</v>
      </c>
      <c r="E21" s="9" t="s">
        <v>57</v>
      </c>
      <c r="F21" t="s">
        <v>110</v>
      </c>
      <c r="J21" t="s">
        <v>58</v>
      </c>
      <c r="K21" t="s">
        <v>59</v>
      </c>
      <c r="O21">
        <v>4</v>
      </c>
      <c r="P21" t="b">
        <v>1</v>
      </c>
    </row>
    <row r="22" spans="1:16">
      <c r="A22" t="s">
        <v>111</v>
      </c>
      <c r="B22" s="9" t="s">
        <v>112</v>
      </c>
      <c r="C22" t="e">
        <f>'Area 2'!$R$28:$R$46</f>
        <v>#VALUE!</v>
      </c>
      <c r="D22">
        <v>0</v>
      </c>
      <c r="E22" s="9" t="s">
        <v>57</v>
      </c>
      <c r="F22" t="s">
        <v>113</v>
      </c>
      <c r="J22" t="s">
        <v>58</v>
      </c>
      <c r="K22" t="s">
        <v>59</v>
      </c>
      <c r="O22">
        <v>4</v>
      </c>
      <c r="P22" t="b">
        <v>1</v>
      </c>
    </row>
    <row r="23" spans="1:16">
      <c r="A23" t="s">
        <v>114</v>
      </c>
      <c r="B23" s="9" t="s">
        <v>115</v>
      </c>
      <c r="C23" t="e">
        <f>'Area 2'!$S$28:$S$118</f>
        <v>#VALUE!</v>
      </c>
      <c r="D23">
        <v>0</v>
      </c>
      <c r="E23" s="9" t="s">
        <v>57</v>
      </c>
      <c r="F23" t="s">
        <v>116</v>
      </c>
      <c r="J23" t="s">
        <v>58</v>
      </c>
      <c r="K23" t="s">
        <v>59</v>
      </c>
      <c r="O23">
        <v>4</v>
      </c>
      <c r="P23" t="b">
        <v>1</v>
      </c>
    </row>
    <row r="24" spans="1:16">
      <c r="A24" t="s">
        <v>128</v>
      </c>
      <c r="B24" s="9" t="s">
        <v>129</v>
      </c>
      <c r="C24">
        <f>'Area 1'!$K$7:$K$85</f>
        <v>190.00000000000011</v>
      </c>
      <c r="D24">
        <v>0</v>
      </c>
      <c r="E24" s="9" t="s">
        <v>57</v>
      </c>
      <c r="F24" t="s">
        <v>130</v>
      </c>
      <c r="J24" t="s">
        <v>58</v>
      </c>
      <c r="K24" t="s">
        <v>59</v>
      </c>
      <c r="O24">
        <v>4</v>
      </c>
      <c r="P24" t="b">
        <v>1</v>
      </c>
    </row>
    <row r="25" spans="1:16">
      <c r="A25" t="s">
        <v>131</v>
      </c>
      <c r="B25" s="9" t="s">
        <v>132</v>
      </c>
      <c r="C25">
        <f>'Area 1'!$L$7:$L$30</f>
        <v>44</v>
      </c>
      <c r="D25">
        <v>0</v>
      </c>
      <c r="E25" s="9" t="s">
        <v>57</v>
      </c>
      <c r="F25" t="s">
        <v>133</v>
      </c>
      <c r="J25" t="s">
        <v>58</v>
      </c>
      <c r="K25" t="s">
        <v>59</v>
      </c>
      <c r="O25">
        <v>4</v>
      </c>
      <c r="P25" t="b">
        <v>1</v>
      </c>
    </row>
    <row r="26" spans="1:16">
      <c r="A26" t="s">
        <v>134</v>
      </c>
      <c r="B26" s="9" t="s">
        <v>135</v>
      </c>
      <c r="C26">
        <f>'Area 1'!$M$7:$M$33</f>
        <v>454</v>
      </c>
      <c r="D26">
        <v>0</v>
      </c>
      <c r="E26" s="9" t="s">
        <v>57</v>
      </c>
      <c r="F26" t="s">
        <v>136</v>
      </c>
      <c r="J26" t="s">
        <v>58</v>
      </c>
      <c r="K26" t="s">
        <v>59</v>
      </c>
      <c r="O26">
        <v>4</v>
      </c>
      <c r="P26" t="b">
        <v>1</v>
      </c>
    </row>
    <row r="27" spans="1:16">
      <c r="A27" t="s">
        <v>137</v>
      </c>
      <c r="B27" s="9" t="s">
        <v>138</v>
      </c>
      <c r="C27">
        <f>'Area 1'!$N$7:$N$63</f>
        <v>45.999999999999837</v>
      </c>
      <c r="D27">
        <v>0</v>
      </c>
      <c r="E27" s="9" t="s">
        <v>57</v>
      </c>
      <c r="F27" t="s">
        <v>139</v>
      </c>
      <c r="J27" t="s">
        <v>58</v>
      </c>
      <c r="K27" t="s">
        <v>59</v>
      </c>
      <c r="O27">
        <v>4</v>
      </c>
      <c r="P27" t="b">
        <v>1</v>
      </c>
    </row>
    <row r="28" spans="1:16">
      <c r="A28" t="s">
        <v>150</v>
      </c>
      <c r="B28" s="9" t="s">
        <v>151</v>
      </c>
      <c r="C28">
        <f>'Area 3'!$O$21:$O$140</f>
        <v>24.999999999999993</v>
      </c>
      <c r="D28">
        <v>0</v>
      </c>
      <c r="E28" s="9" t="s">
        <v>57</v>
      </c>
      <c r="F28" t="s">
        <v>152</v>
      </c>
      <c r="J28" t="s">
        <v>58</v>
      </c>
      <c r="K28" t="s">
        <v>59</v>
      </c>
      <c r="O28">
        <v>4</v>
      </c>
      <c r="P28" t="b">
        <v>1</v>
      </c>
    </row>
    <row r="29" spans="1:16">
      <c r="A29" t="s">
        <v>153</v>
      </c>
      <c r="B29" s="9" t="s">
        <v>154</v>
      </c>
      <c r="C29" t="e">
        <f>'Area 3'!$P$21:$P$26</f>
        <v>#VALUE!</v>
      </c>
      <c r="D29">
        <v>0</v>
      </c>
      <c r="E29" s="9" t="s">
        <v>57</v>
      </c>
      <c r="F29" t="s">
        <v>155</v>
      </c>
      <c r="J29" t="s">
        <v>58</v>
      </c>
      <c r="K29" t="s">
        <v>59</v>
      </c>
      <c r="O29">
        <v>4</v>
      </c>
      <c r="P29" t="b">
        <v>1</v>
      </c>
    </row>
    <row r="30" spans="1:16">
      <c r="A30" t="s">
        <v>156</v>
      </c>
      <c r="B30" s="9" t="s">
        <v>157</v>
      </c>
      <c r="C30">
        <f>'Area 3'!$R$21:$R$74</f>
        <v>26.000000000000028</v>
      </c>
      <c r="D30">
        <v>0</v>
      </c>
      <c r="E30" s="9" t="s">
        <v>57</v>
      </c>
      <c r="F30" t="s">
        <v>158</v>
      </c>
      <c r="J30" t="s">
        <v>58</v>
      </c>
      <c r="K30" t="s">
        <v>59</v>
      </c>
      <c r="O30">
        <v>4</v>
      </c>
      <c r="P30" t="b">
        <v>1</v>
      </c>
    </row>
    <row r="31" spans="1:16">
      <c r="A31" t="s">
        <v>168</v>
      </c>
      <c r="B31" s="9" t="s">
        <v>169</v>
      </c>
      <c r="C31" s="17">
        <f>'Area 4'!$O$14:$O$203</f>
        <v>7.3749999999999938</v>
      </c>
      <c r="D31">
        <v>0</v>
      </c>
      <c r="E31" s="9" t="s">
        <v>57</v>
      </c>
      <c r="F31" t="s">
        <v>170</v>
      </c>
      <c r="J31" t="s">
        <v>58</v>
      </c>
      <c r="K31" t="s">
        <v>59</v>
      </c>
      <c r="O31">
        <v>4</v>
      </c>
      <c r="P31" t="b">
        <v>1</v>
      </c>
    </row>
    <row r="32" spans="1:16">
      <c r="A32" t="s">
        <v>171</v>
      </c>
      <c r="B32" s="9" t="s">
        <v>172</v>
      </c>
      <c r="C32" t="e">
        <f>'Area 4'!$P$14:$P$19</f>
        <v>#VALUE!</v>
      </c>
      <c r="D32">
        <v>0</v>
      </c>
      <c r="E32" s="9" t="s">
        <v>57</v>
      </c>
      <c r="F32" t="s">
        <v>173</v>
      </c>
      <c r="J32" t="s">
        <v>58</v>
      </c>
      <c r="K32" t="s">
        <v>59</v>
      </c>
      <c r="O32">
        <v>4</v>
      </c>
      <c r="P32" t="b">
        <v>1</v>
      </c>
    </row>
    <row r="33" spans="1:16">
      <c r="A33" t="s">
        <v>174</v>
      </c>
      <c r="B33" s="9" t="s">
        <v>175</v>
      </c>
      <c r="C33" t="e">
        <f>'Area 4'!$Q$14:$Q$20</f>
        <v>#VALUE!</v>
      </c>
      <c r="D33">
        <v>0</v>
      </c>
      <c r="E33" s="9" t="s">
        <v>57</v>
      </c>
      <c r="F33" t="s">
        <v>176</v>
      </c>
      <c r="J33" t="s">
        <v>58</v>
      </c>
      <c r="K33" t="s">
        <v>59</v>
      </c>
      <c r="O33">
        <v>4</v>
      </c>
      <c r="P33" t="b">
        <v>1</v>
      </c>
    </row>
    <row r="34" spans="1:16">
      <c r="A34" t="s">
        <v>177</v>
      </c>
      <c r="B34" s="9" t="s">
        <v>178</v>
      </c>
      <c r="C34" s="17">
        <f>'Area 4'!$R$14:$R$248</f>
        <v>6.7499999999999964</v>
      </c>
      <c r="D34">
        <v>0</v>
      </c>
      <c r="E34" s="9" t="s">
        <v>57</v>
      </c>
      <c r="F34" t="s">
        <v>179</v>
      </c>
      <c r="J34" t="s">
        <v>58</v>
      </c>
      <c r="K34" t="s">
        <v>59</v>
      </c>
      <c r="O34">
        <v>4</v>
      </c>
      <c r="P34" t="b">
        <v>1</v>
      </c>
    </row>
    <row r="35" spans="1:16">
      <c r="A35" t="s">
        <v>187</v>
      </c>
      <c r="B35" s="9" t="s">
        <v>188</v>
      </c>
      <c r="C35" t="e">
        <f>'Area 5'!$N$10:$N$32</f>
        <v>#VALUE!</v>
      </c>
      <c r="D35">
        <v>0</v>
      </c>
      <c r="E35" s="9" t="s">
        <v>57</v>
      </c>
      <c r="F35" t="s">
        <v>189</v>
      </c>
      <c r="J35" t="s">
        <v>58</v>
      </c>
      <c r="K35" t="s">
        <v>59</v>
      </c>
      <c r="O35">
        <v>4</v>
      </c>
      <c r="P35" t="b">
        <v>1</v>
      </c>
    </row>
    <row r="36" spans="1:16">
      <c r="A36" t="s">
        <v>190</v>
      </c>
      <c r="B36" s="9" t="s">
        <v>191</v>
      </c>
      <c r="C36" t="e">
        <f>'Area 5'!$O$10:$O$15</f>
        <v>#VALUE!</v>
      </c>
      <c r="D36">
        <v>0</v>
      </c>
      <c r="E36" s="9" t="s">
        <v>57</v>
      </c>
      <c r="F36" t="s">
        <v>192</v>
      </c>
      <c r="J36" t="s">
        <v>58</v>
      </c>
      <c r="K36" t="s">
        <v>59</v>
      </c>
      <c r="O36">
        <v>4</v>
      </c>
      <c r="P36" t="b">
        <v>1</v>
      </c>
    </row>
    <row r="37" spans="1:16">
      <c r="A37" t="s">
        <v>193</v>
      </c>
      <c r="B37" s="9" t="s">
        <v>194</v>
      </c>
      <c r="C37" t="e">
        <f>'Area 5'!$P$10:$P$14</f>
        <v>#VALUE!</v>
      </c>
      <c r="D37">
        <v>0</v>
      </c>
      <c r="E37" s="9" t="s">
        <v>57</v>
      </c>
      <c r="F37" t="s">
        <v>195</v>
      </c>
      <c r="J37" t="s">
        <v>58</v>
      </c>
      <c r="K37" t="s">
        <v>59</v>
      </c>
      <c r="O37">
        <v>4</v>
      </c>
      <c r="P37" t="b">
        <v>1</v>
      </c>
    </row>
    <row r="38" spans="1:16">
      <c r="A38" t="s">
        <v>200</v>
      </c>
      <c r="B38" s="9" t="s">
        <v>201</v>
      </c>
      <c r="C38" t="e">
        <f>'Area 5'!$Q$10:$Q$34</f>
        <v>#VALUE!</v>
      </c>
      <c r="D38">
        <v>0</v>
      </c>
      <c r="E38" s="9" t="s">
        <v>57</v>
      </c>
      <c r="F38" t="s">
        <v>202</v>
      </c>
      <c r="J38" t="s">
        <v>58</v>
      </c>
      <c r="K38" t="s">
        <v>59</v>
      </c>
      <c r="O38">
        <v>4</v>
      </c>
      <c r="P38" t="b">
        <v>1</v>
      </c>
    </row>
    <row r="39" spans="1:16">
      <c r="A39" t="s">
        <v>213</v>
      </c>
      <c r="B39" s="9" t="s">
        <v>253</v>
      </c>
      <c r="C39">
        <f>'Area 6'!$K$10:$K$40</f>
        <v>17.000000000000099</v>
      </c>
      <c r="D39">
        <v>0</v>
      </c>
      <c r="E39" s="9" t="s">
        <v>57</v>
      </c>
      <c r="F39" t="s">
        <v>254</v>
      </c>
      <c r="J39" t="s">
        <v>58</v>
      </c>
      <c r="K39" t="s">
        <v>59</v>
      </c>
      <c r="O39">
        <v>4</v>
      </c>
      <c r="P39" t="b">
        <v>1</v>
      </c>
    </row>
    <row r="40" spans="1:16">
      <c r="A40" t="s">
        <v>248</v>
      </c>
      <c r="B40" s="9" t="s">
        <v>249</v>
      </c>
      <c r="C40" t="e">
        <f>'Area 6'!$N$10:$N$39</f>
        <v>#VALUE!</v>
      </c>
      <c r="D40">
        <v>0</v>
      </c>
      <c r="E40" s="9" t="s">
        <v>57</v>
      </c>
      <c r="F40" t="s">
        <v>250</v>
      </c>
      <c r="J40" t="s">
        <v>58</v>
      </c>
      <c r="K40" t="s">
        <v>59</v>
      </c>
      <c r="O40">
        <v>4</v>
      </c>
      <c r="P40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A129"/>
  <sheetViews>
    <sheetView workbookViewId="0"/>
  </sheetViews>
  <sheetFormatPr defaultRowHeight="15"/>
  <cols>
    <col min="1" max="1" width="15.42578125" customWidth="1"/>
    <col min="2" max="2" width="10.7109375" customWidth="1"/>
    <col min="4" max="4" width="11.85546875" customWidth="1"/>
    <col min="5" max="5" width="16" customWidth="1"/>
    <col min="6" max="6" width="10.5703125" customWidth="1"/>
    <col min="7" max="7" width="10.140625" customWidth="1"/>
    <col min="8" max="8" width="11" customWidth="1"/>
    <col min="10" max="10" width="19.140625" customWidth="1"/>
    <col min="11" max="11" width="19.5703125" customWidth="1"/>
    <col min="12" max="12" width="23.5703125" customWidth="1"/>
    <col min="13" max="13" width="24.42578125" customWidth="1"/>
    <col min="14" max="14" width="15.140625" customWidth="1"/>
    <col min="15" max="15" width="10.85546875" customWidth="1"/>
    <col min="19" max="19" width="13.28515625" customWidth="1"/>
    <col min="20" max="20" width="24.140625" customWidth="1"/>
    <col min="21" max="21" width="17.85546875" customWidth="1"/>
    <col min="23" max="23" width="10.85546875" customWidth="1"/>
  </cols>
  <sheetData>
    <row r="1" spans="1:27">
      <c r="A1" t="s">
        <v>12</v>
      </c>
      <c r="E1" s="16"/>
      <c r="F1" s="16"/>
      <c r="J1" s="6" t="s">
        <v>27</v>
      </c>
      <c r="K1" s="5" t="s">
        <v>6</v>
      </c>
      <c r="L1" s="5" t="s">
        <v>19</v>
      </c>
      <c r="M1" s="5" t="s">
        <v>24</v>
      </c>
      <c r="N1" s="5"/>
      <c r="O1" s="5" t="s">
        <v>25</v>
      </c>
      <c r="P1" s="5"/>
      <c r="Q1" s="5"/>
    </row>
    <row r="2" spans="1:27">
      <c r="A2" t="s">
        <v>13</v>
      </c>
      <c r="B2">
        <v>45</v>
      </c>
      <c r="K2" s="5">
        <v>15</v>
      </c>
      <c r="L2" s="5">
        <v>65</v>
      </c>
      <c r="M2" s="5">
        <f>L2+K2</f>
        <v>80</v>
      </c>
      <c r="N2" s="5"/>
      <c r="O2" s="5">
        <f>M2-M6</f>
        <v>26</v>
      </c>
      <c r="P2" s="5"/>
      <c r="Q2" s="5"/>
    </row>
    <row r="3" spans="1:27">
      <c r="A3" t="s">
        <v>14</v>
      </c>
      <c r="B3">
        <v>40</v>
      </c>
      <c r="D3" t="s">
        <v>271</v>
      </c>
      <c r="E3" t="s">
        <v>270</v>
      </c>
      <c r="K3" s="5"/>
      <c r="L3" s="5"/>
      <c r="M3" s="5"/>
      <c r="N3" s="5"/>
      <c r="O3" s="5"/>
      <c r="P3" s="5" t="s">
        <v>26</v>
      </c>
      <c r="Q3" s="5">
        <f>O2/M2</f>
        <v>0.32500000000000001</v>
      </c>
    </row>
    <row r="4" spans="1:27">
      <c r="A4" t="s">
        <v>268</v>
      </c>
      <c r="C4" t="s">
        <v>141</v>
      </c>
      <c r="D4">
        <v>65</v>
      </c>
      <c r="E4">
        <v>15</v>
      </c>
      <c r="K4" s="5"/>
      <c r="L4" s="5"/>
      <c r="M4" s="5"/>
      <c r="N4" s="5"/>
      <c r="O4" s="5"/>
      <c r="P4" s="5"/>
      <c r="Q4" s="5"/>
    </row>
    <row r="5" spans="1:27">
      <c r="A5" t="s">
        <v>269</v>
      </c>
      <c r="C5" t="s">
        <v>142</v>
      </c>
      <c r="D5">
        <v>41</v>
      </c>
      <c r="E5">
        <v>8</v>
      </c>
      <c r="K5" s="5"/>
      <c r="L5" s="5"/>
      <c r="M5" s="5" t="s">
        <v>20</v>
      </c>
      <c r="N5" s="5" t="s">
        <v>21</v>
      </c>
      <c r="O5" s="5" t="s">
        <v>22</v>
      </c>
      <c r="P5" s="5" t="s">
        <v>23</v>
      </c>
      <c r="Q5" s="5"/>
      <c r="S5" s="7" t="s">
        <v>88</v>
      </c>
      <c r="T5" s="8"/>
      <c r="U5" s="8" t="s">
        <v>6</v>
      </c>
      <c r="V5" s="8" t="s">
        <v>19</v>
      </c>
      <c r="W5" s="8" t="s">
        <v>24</v>
      </c>
      <c r="X5" s="8"/>
      <c r="Y5" s="8" t="s">
        <v>89</v>
      </c>
      <c r="Z5" s="8"/>
      <c r="AA5" s="8"/>
    </row>
    <row r="6" spans="1:27">
      <c r="A6" t="s">
        <v>15</v>
      </c>
      <c r="B6" t="s">
        <v>9</v>
      </c>
      <c r="C6" t="s">
        <v>16</v>
      </c>
      <c r="D6" t="s">
        <v>9</v>
      </c>
      <c r="E6" t="s">
        <v>17</v>
      </c>
      <c r="F6" t="s">
        <v>9</v>
      </c>
      <c r="G6" t="s">
        <v>18</v>
      </c>
      <c r="H6" t="s">
        <v>9</v>
      </c>
      <c r="K6" s="5"/>
      <c r="L6" s="5" t="s">
        <v>31</v>
      </c>
      <c r="M6" s="5">
        <v>54</v>
      </c>
      <c r="N6" s="5">
        <v>13</v>
      </c>
      <c r="O6" s="5">
        <f>20-7</f>
        <v>13</v>
      </c>
      <c r="P6" s="5">
        <f>55-7</f>
        <v>48</v>
      </c>
      <c r="Q6" s="5"/>
      <c r="S6" s="7" t="s">
        <v>12</v>
      </c>
      <c r="T6" s="8"/>
      <c r="U6" s="8">
        <f>K2+K10</f>
        <v>23</v>
      </c>
      <c r="V6" s="8">
        <f>L2+L10</f>
        <v>106</v>
      </c>
      <c r="W6" s="8">
        <f>M2+M10</f>
        <v>129</v>
      </c>
      <c r="X6" s="8"/>
      <c r="Y6" s="8">
        <f>O2+O10</f>
        <v>28</v>
      </c>
      <c r="Z6" s="8"/>
      <c r="AA6" s="8"/>
    </row>
    <row r="7" spans="1:27">
      <c r="A7" s="1">
        <v>9.0277777777777787E-3</v>
      </c>
      <c r="B7" s="1">
        <f>A8-A7</f>
        <v>1.8055555555555554E-2</v>
      </c>
      <c r="C7" s="1">
        <v>0.20277777777777781</v>
      </c>
      <c r="D7" s="1">
        <f>C8-C7</f>
        <v>4.5138888888888867E-2</v>
      </c>
      <c r="E7" s="1">
        <v>6.1111111111111116E-2</v>
      </c>
      <c r="F7" s="1">
        <f>E8-E7</f>
        <v>0.23402777777777778</v>
      </c>
      <c r="G7" s="1">
        <v>1.9444444444444445E-2</v>
      </c>
      <c r="H7" s="1">
        <f>G8-G7</f>
        <v>1.5972222222222221E-2</v>
      </c>
      <c r="L7" s="8" t="s">
        <v>64</v>
      </c>
      <c r="M7" s="8" t="s">
        <v>66</v>
      </c>
      <c r="N7" s="8" t="s">
        <v>67</v>
      </c>
      <c r="O7" s="8" t="s">
        <v>68</v>
      </c>
      <c r="P7" s="8" t="s">
        <v>69</v>
      </c>
      <c r="Q7" s="8"/>
      <c r="T7" s="8"/>
      <c r="U7" s="8"/>
      <c r="V7" s="8"/>
      <c r="W7" s="8"/>
      <c r="X7" s="8"/>
      <c r="Y7" s="8"/>
      <c r="Z7" s="8" t="s">
        <v>90</v>
      </c>
      <c r="AA7" s="8">
        <f>Y6/W6</f>
        <v>0.21705426356589147</v>
      </c>
    </row>
    <row r="8" spans="1:27">
      <c r="A8" s="1">
        <v>2.7083333333333334E-2</v>
      </c>
      <c r="B8" s="1">
        <f t="shared" ref="B8:B61" si="0">A9-A8</f>
        <v>2.5000000000000001E-2</v>
      </c>
      <c r="C8" s="1">
        <v>0.24791666666666667</v>
      </c>
      <c r="D8" s="1">
        <f t="shared" ref="D8:D20" si="1">C9-C8</f>
        <v>7.5000000000000011E-2</v>
      </c>
      <c r="E8" s="1">
        <v>0.2951388888888889</v>
      </c>
      <c r="F8" s="1">
        <f t="shared" ref="F8:F20" si="2">E9-E8</f>
        <v>6.6666666666666652E-2</v>
      </c>
      <c r="G8" s="1">
        <v>3.5416666666666666E-2</v>
      </c>
      <c r="H8" s="1">
        <f t="shared" ref="H8:H55" si="3">G9-G8</f>
        <v>2.569444444444445E-2</v>
      </c>
      <c r="T8" s="8"/>
      <c r="U8" s="8"/>
      <c r="V8" s="8"/>
      <c r="W8" s="8"/>
      <c r="X8" s="8"/>
      <c r="Y8" s="8"/>
      <c r="Z8" s="8"/>
      <c r="AA8" s="8"/>
    </row>
    <row r="9" spans="1:27">
      <c r="A9" s="1">
        <v>5.2083333333333336E-2</v>
      </c>
      <c r="B9" s="1">
        <f t="shared" si="0"/>
        <v>2.5694444444444443E-2</v>
      </c>
      <c r="C9" s="1">
        <v>0.32291666666666669</v>
      </c>
      <c r="D9" s="1">
        <f t="shared" si="1"/>
        <v>3.4027777777777768E-2</v>
      </c>
      <c r="E9" s="1">
        <v>0.36180555555555555</v>
      </c>
      <c r="F9" s="1">
        <f t="shared" si="2"/>
        <v>1.2499999999999956E-2</v>
      </c>
      <c r="G9" s="1">
        <v>6.1111111111111116E-2</v>
      </c>
      <c r="H9" s="1">
        <f t="shared" si="3"/>
        <v>4.4444444444444439E-2</v>
      </c>
      <c r="J9" s="6" t="s">
        <v>30</v>
      </c>
      <c r="K9" s="8" t="s">
        <v>6</v>
      </c>
      <c r="L9" s="8" t="s">
        <v>28</v>
      </c>
      <c r="M9" s="8" t="s">
        <v>24</v>
      </c>
      <c r="N9" s="8"/>
      <c r="O9" s="8" t="s">
        <v>29</v>
      </c>
      <c r="P9" s="8"/>
      <c r="Q9" s="8"/>
      <c r="T9" s="8"/>
      <c r="U9" s="8" t="s">
        <v>20</v>
      </c>
      <c r="V9" s="8" t="s">
        <v>21</v>
      </c>
      <c r="W9" s="8" t="s">
        <v>22</v>
      </c>
      <c r="X9" s="8" t="s">
        <v>23</v>
      </c>
      <c r="Y9" s="8"/>
      <c r="Z9" s="8"/>
      <c r="AA9" s="8"/>
    </row>
    <row r="10" spans="1:27">
      <c r="A10" s="1">
        <v>7.7777777777777779E-2</v>
      </c>
      <c r="B10" s="1">
        <f t="shared" si="0"/>
        <v>1.8749999999999989E-2</v>
      </c>
      <c r="C10" s="1">
        <v>0.35694444444444445</v>
      </c>
      <c r="D10" s="1">
        <f t="shared" si="1"/>
        <v>0.17777777777777776</v>
      </c>
      <c r="E10" s="1">
        <v>0.3743055555555555</v>
      </c>
      <c r="F10" s="1">
        <f t="shared" si="2"/>
        <v>2.222222222222231E-2</v>
      </c>
      <c r="G10" s="1">
        <v>0.10555555555555556</v>
      </c>
      <c r="H10" s="1">
        <f t="shared" si="3"/>
        <v>6.9444444444444475E-3</v>
      </c>
      <c r="K10" s="8">
        <v>8</v>
      </c>
      <c r="L10" s="8">
        <v>41</v>
      </c>
      <c r="M10" s="8">
        <f>SUM(L10,K10)</f>
        <v>49</v>
      </c>
      <c r="N10" s="8"/>
      <c r="O10" s="8">
        <f>M10-M14</f>
        <v>2</v>
      </c>
      <c r="P10" s="8"/>
      <c r="Q10" s="8"/>
      <c r="T10" s="8" t="s">
        <v>31</v>
      </c>
      <c r="U10" s="8">
        <f>M14+M6</f>
        <v>101</v>
      </c>
      <c r="V10" s="8">
        <f>N14+N6</f>
        <v>20</v>
      </c>
      <c r="W10" s="8">
        <f>O14+O6</f>
        <v>18</v>
      </c>
      <c r="X10" s="8">
        <f>P14+P6</f>
        <v>90</v>
      </c>
      <c r="Y10" s="8"/>
      <c r="Z10" s="8"/>
      <c r="AA10" s="8"/>
    </row>
    <row r="11" spans="1:27">
      <c r="A11" s="1">
        <v>9.6527777777777768E-2</v>
      </c>
      <c r="B11" s="1">
        <f t="shared" si="0"/>
        <v>4.0972222222222215E-2</v>
      </c>
      <c r="C11" s="1">
        <v>0.53472222222222221</v>
      </c>
      <c r="D11" s="1">
        <f t="shared" si="1"/>
        <v>6.944444444444442E-2</v>
      </c>
      <c r="E11" s="1">
        <v>0.39652777777777781</v>
      </c>
      <c r="F11" s="1">
        <f t="shared" si="2"/>
        <v>0.24097222222222225</v>
      </c>
      <c r="G11" s="1">
        <v>0.1125</v>
      </c>
      <c r="H11" s="1">
        <f t="shared" si="3"/>
        <v>2.7777777777777776E-2</v>
      </c>
      <c r="K11" s="8"/>
      <c r="L11" s="8"/>
      <c r="M11" s="8"/>
      <c r="N11" s="8"/>
      <c r="O11" s="8"/>
      <c r="P11" s="8" t="s">
        <v>26</v>
      </c>
      <c r="Q11" s="8">
        <f>O10/M10</f>
        <v>4.0816326530612242E-2</v>
      </c>
      <c r="T11" s="8" t="s">
        <v>65</v>
      </c>
      <c r="U11" s="8" t="s">
        <v>96</v>
      </c>
      <c r="V11" s="8" t="s">
        <v>95</v>
      </c>
      <c r="W11" s="8" t="s">
        <v>97</v>
      </c>
      <c r="X11" s="8" t="s">
        <v>98</v>
      </c>
      <c r="Y11" s="8"/>
      <c r="Z11" s="8"/>
      <c r="AA11" s="8"/>
    </row>
    <row r="12" spans="1:27">
      <c r="A12" s="1">
        <v>0.13749999999999998</v>
      </c>
      <c r="B12" s="1">
        <f t="shared" si="0"/>
        <v>2.8472222222222232E-2</v>
      </c>
      <c r="C12" s="1">
        <v>0.60416666666666663</v>
      </c>
      <c r="D12" s="1">
        <f t="shared" si="1"/>
        <v>0.19513888888888897</v>
      </c>
      <c r="E12" s="1">
        <v>0.63750000000000007</v>
      </c>
      <c r="F12" s="1">
        <f t="shared" si="2"/>
        <v>4.3055555555555403E-2</v>
      </c>
      <c r="G12" s="1">
        <v>0.14027777777777778</v>
      </c>
      <c r="H12" s="1">
        <f t="shared" si="3"/>
        <v>3.2638888888888912E-2</v>
      </c>
      <c r="K12" s="8"/>
      <c r="L12" s="8"/>
      <c r="M12" s="8"/>
      <c r="N12" s="8"/>
      <c r="O12" s="8"/>
      <c r="P12" s="8"/>
      <c r="Q12" s="8"/>
    </row>
    <row r="13" spans="1:27">
      <c r="A13" s="1">
        <v>0.16597222222222222</v>
      </c>
      <c r="B13" s="1">
        <f t="shared" si="0"/>
        <v>6.9444444444444753E-3</v>
      </c>
      <c r="C13" s="1">
        <v>0.7993055555555556</v>
      </c>
      <c r="D13" s="1">
        <f t="shared" si="1"/>
        <v>4.1666666666666519E-3</v>
      </c>
      <c r="E13" s="1">
        <v>0.68055555555555547</v>
      </c>
      <c r="F13" s="1">
        <f t="shared" si="2"/>
        <v>6.0416666666666785E-2</v>
      </c>
      <c r="G13" s="1">
        <v>0.17291666666666669</v>
      </c>
      <c r="H13" s="1">
        <f t="shared" si="3"/>
        <v>6.9444444444444198E-3</v>
      </c>
      <c r="K13" s="8"/>
      <c r="L13" s="8"/>
      <c r="M13" s="8" t="s">
        <v>20</v>
      </c>
      <c r="N13" s="8" t="s">
        <v>21</v>
      </c>
      <c r="O13" s="8" t="s">
        <v>22</v>
      </c>
      <c r="P13" s="8" t="s">
        <v>23</v>
      </c>
      <c r="Q13" s="8"/>
    </row>
    <row r="14" spans="1:27">
      <c r="A14" s="1">
        <v>0.17291666666666669</v>
      </c>
      <c r="B14" s="1">
        <f t="shared" si="0"/>
        <v>4.9305555555555519E-2</v>
      </c>
      <c r="C14" s="1">
        <v>0.80347222222222225</v>
      </c>
      <c r="D14" s="1">
        <f t="shared" si="1"/>
        <v>9.5833333333333215E-2</v>
      </c>
      <c r="E14" s="1">
        <v>0.74097222222222225</v>
      </c>
      <c r="F14" s="1">
        <f t="shared" si="2"/>
        <v>1.5277777777777724E-2</v>
      </c>
      <c r="G14" s="1">
        <v>0.17986111111111111</v>
      </c>
      <c r="H14" s="1">
        <f t="shared" si="3"/>
        <v>5.2777777777777757E-2</v>
      </c>
      <c r="K14" s="8"/>
      <c r="L14" s="8" t="s">
        <v>31</v>
      </c>
      <c r="M14" s="8">
        <v>47</v>
      </c>
      <c r="N14" s="8">
        <v>7</v>
      </c>
      <c r="O14" s="8">
        <v>5</v>
      </c>
      <c r="P14" s="8">
        <v>42</v>
      </c>
      <c r="Q14" s="8"/>
    </row>
    <row r="15" spans="1:27">
      <c r="A15" s="1">
        <v>0.22222222222222221</v>
      </c>
      <c r="B15" s="1">
        <f t="shared" si="0"/>
        <v>1.1805555555555597E-2</v>
      </c>
      <c r="C15" s="1">
        <v>0.89930555555555547</v>
      </c>
      <c r="D15" s="1">
        <f t="shared" si="1"/>
        <v>1.736111111111116E-2</v>
      </c>
      <c r="E15" s="1">
        <v>0.75624999999999998</v>
      </c>
      <c r="F15" s="1">
        <f t="shared" si="2"/>
        <v>5.5555555555556468E-3</v>
      </c>
      <c r="G15" s="1">
        <v>0.23263888888888887</v>
      </c>
      <c r="H15" s="1">
        <f t="shared" si="3"/>
        <v>3.194444444444447E-2</v>
      </c>
      <c r="L15" s="8" t="s">
        <v>64</v>
      </c>
      <c r="M15" s="8" t="s">
        <v>78</v>
      </c>
      <c r="N15" s="8" t="s">
        <v>79</v>
      </c>
      <c r="O15" s="8" t="s">
        <v>86</v>
      </c>
      <c r="P15" s="8" t="s">
        <v>87</v>
      </c>
      <c r="Q15" s="8"/>
    </row>
    <row r="16" spans="1:27">
      <c r="A16" s="1">
        <v>0.23402777777777781</v>
      </c>
      <c r="B16" s="1">
        <f t="shared" si="0"/>
        <v>2.7777777777777762E-2</v>
      </c>
      <c r="C16" s="1">
        <v>0.91666666666666663</v>
      </c>
      <c r="D16" s="1">
        <f t="shared" si="1"/>
        <v>3.8194444444444531E-2</v>
      </c>
      <c r="E16" s="1">
        <v>0.76180555555555562</v>
      </c>
      <c r="F16" s="1">
        <f t="shared" si="2"/>
        <v>0.2895833333333333</v>
      </c>
      <c r="G16" s="1">
        <v>0.26458333333333334</v>
      </c>
      <c r="H16" s="1">
        <f t="shared" si="3"/>
        <v>6.2499999999999778E-3</v>
      </c>
    </row>
    <row r="17" spans="1:19">
      <c r="A17" s="1">
        <v>0.26180555555555557</v>
      </c>
      <c r="B17" s="1">
        <f t="shared" si="0"/>
        <v>1.5972222222222221E-2</v>
      </c>
      <c r="C17" s="1">
        <v>0.95486111111111116</v>
      </c>
      <c r="D17" s="1">
        <f t="shared" si="1"/>
        <v>2.083333333333337E-2</v>
      </c>
      <c r="E17" s="2">
        <v>1.0513888888888889</v>
      </c>
      <c r="F17" s="1">
        <f t="shared" si="2"/>
        <v>0.10694444444444451</v>
      </c>
      <c r="G17" s="1">
        <v>0.27083333333333331</v>
      </c>
      <c r="H17" s="1">
        <f t="shared" si="3"/>
        <v>1.0416666666666685E-2</v>
      </c>
    </row>
    <row r="18" spans="1:19">
      <c r="A18" s="1">
        <v>0.27777777777777779</v>
      </c>
      <c r="B18" s="1">
        <f t="shared" si="0"/>
        <v>2.7777777777777735E-2</v>
      </c>
      <c r="C18" s="1">
        <v>0.97569444444444453</v>
      </c>
      <c r="D18" s="1">
        <f t="shared" si="1"/>
        <v>1.2499999999999845E-2</v>
      </c>
      <c r="E18" s="2">
        <v>1.1583333333333334</v>
      </c>
      <c r="F18" s="1">
        <f t="shared" si="2"/>
        <v>0.18611111111111089</v>
      </c>
      <c r="G18" s="1">
        <v>0.28125</v>
      </c>
      <c r="H18" s="1">
        <f t="shared" si="3"/>
        <v>3.3333333333333326E-2</v>
      </c>
    </row>
    <row r="19" spans="1:19">
      <c r="A19" s="1">
        <v>0.30555555555555552</v>
      </c>
      <c r="B19" s="1">
        <f t="shared" si="0"/>
        <v>3.6111111111111094E-2</v>
      </c>
      <c r="C19" s="1">
        <v>0.98819444444444438</v>
      </c>
      <c r="D19" s="1">
        <f t="shared" si="1"/>
        <v>3.819444444444442E-2</v>
      </c>
      <c r="E19" s="2">
        <v>1.3444444444444443</v>
      </c>
      <c r="F19" s="1">
        <f t="shared" si="2"/>
        <v>0.125</v>
      </c>
      <c r="G19" s="1">
        <v>0.31458333333333333</v>
      </c>
      <c r="H19" s="1">
        <f t="shared" si="3"/>
        <v>3.7499999999999978E-2</v>
      </c>
    </row>
    <row r="20" spans="1:19">
      <c r="A20" s="1">
        <v>0.34166666666666662</v>
      </c>
      <c r="B20" s="1">
        <f t="shared" si="0"/>
        <v>3.4722222222222654E-3</v>
      </c>
      <c r="C20" s="2">
        <v>1.0263888888888888</v>
      </c>
      <c r="D20" s="1">
        <f t="shared" si="1"/>
        <v>5.2777777777777812E-2</v>
      </c>
      <c r="E20" s="2">
        <v>1.4694444444444443</v>
      </c>
      <c r="F20" s="1">
        <f t="shared" si="2"/>
        <v>6.527777777777799E-2</v>
      </c>
      <c r="G20" s="1">
        <v>0.3520833333333333</v>
      </c>
      <c r="H20" s="1">
        <f t="shared" si="3"/>
        <v>4.4444444444444509E-2</v>
      </c>
      <c r="J20" t="s">
        <v>32</v>
      </c>
    </row>
    <row r="21" spans="1:19">
      <c r="A21" s="1">
        <v>0.34513888888888888</v>
      </c>
      <c r="B21" s="1">
        <f t="shared" si="0"/>
        <v>4.6527777777777779E-2</v>
      </c>
      <c r="C21" s="2">
        <v>1.0791666666666666</v>
      </c>
      <c r="D21" s="4"/>
      <c r="E21" s="2">
        <v>1.5347222222222223</v>
      </c>
      <c r="F21" s="4"/>
      <c r="G21" s="1">
        <v>0.39652777777777781</v>
      </c>
      <c r="H21" s="1">
        <f t="shared" si="3"/>
        <v>6.2499999999999223E-3</v>
      </c>
      <c r="J21" s="1"/>
    </row>
    <row r="22" spans="1:19">
      <c r="A22" s="1">
        <v>0.39166666666666666</v>
      </c>
      <c r="B22" s="1">
        <f t="shared" si="0"/>
        <v>6.25E-2</v>
      </c>
      <c r="C22" s="4"/>
      <c r="E22" s="4"/>
      <c r="G22" s="1">
        <v>0.40277777777777773</v>
      </c>
      <c r="H22" s="1">
        <f t="shared" si="3"/>
        <v>6.041666666666673E-2</v>
      </c>
      <c r="J22" s="1" t="s">
        <v>61</v>
      </c>
      <c r="K22" t="s">
        <v>62</v>
      </c>
      <c r="L22" t="s">
        <v>63</v>
      </c>
      <c r="M22" t="s">
        <v>18</v>
      </c>
    </row>
    <row r="23" spans="1:19">
      <c r="A23" s="1">
        <v>0.45416666666666666</v>
      </c>
      <c r="B23" s="1">
        <f t="shared" si="0"/>
        <v>1.6666666666666718E-2</v>
      </c>
      <c r="C23" s="1">
        <v>6.9444444444444447E-4</v>
      </c>
      <c r="D23" s="1">
        <f>C24-C23</f>
        <v>6.9444444444444447E-4</v>
      </c>
      <c r="E23" s="1">
        <v>0.39305555555555555</v>
      </c>
      <c r="F23" s="1">
        <f>E24-E23</f>
        <v>3.6111111111111149E-2</v>
      </c>
      <c r="G23" s="1">
        <v>0.46319444444444446</v>
      </c>
      <c r="H23" s="1">
        <f t="shared" si="3"/>
        <v>2.0833333333333315E-2</v>
      </c>
      <c r="J23">
        <v>25.999999999999996</v>
      </c>
      <c r="K23">
        <v>64.999999999999972</v>
      </c>
      <c r="L23">
        <v>337</v>
      </c>
      <c r="M23">
        <v>23</v>
      </c>
    </row>
    <row r="24" spans="1:19">
      <c r="A24" s="1">
        <v>0.47083333333333338</v>
      </c>
      <c r="B24" s="1">
        <f t="shared" si="0"/>
        <v>1.9444444444444431E-2</v>
      </c>
      <c r="C24" s="1">
        <v>1.3888888888888889E-3</v>
      </c>
      <c r="D24" s="1">
        <f t="shared" ref="D24:F29" si="4">C25-C24</f>
        <v>4.8611111111111105E-2</v>
      </c>
      <c r="E24" s="1">
        <v>0.4291666666666667</v>
      </c>
      <c r="F24" s="1">
        <f t="shared" si="4"/>
        <v>3.1944444444444386E-2</v>
      </c>
      <c r="G24" s="1">
        <v>0.48402777777777778</v>
      </c>
      <c r="H24" s="1">
        <f t="shared" si="3"/>
        <v>1.388888888888884E-2</v>
      </c>
      <c r="J24">
        <v>36.000000000000007</v>
      </c>
      <c r="K24">
        <v>108.00000000000001</v>
      </c>
      <c r="L24">
        <v>95.999999999999972</v>
      </c>
      <c r="M24">
        <v>37.000000000000007</v>
      </c>
    </row>
    <row r="25" spans="1:19">
      <c r="A25" s="1">
        <v>0.49027777777777781</v>
      </c>
      <c r="B25" s="1">
        <f t="shared" si="0"/>
        <v>1.6666666666666607E-2</v>
      </c>
      <c r="C25" s="1">
        <v>4.9999999999999996E-2</v>
      </c>
      <c r="D25" s="1">
        <f t="shared" si="4"/>
        <v>0.15486111111111114</v>
      </c>
      <c r="E25" s="1">
        <v>0.46111111111111108</v>
      </c>
      <c r="F25" s="1">
        <f t="shared" si="4"/>
        <v>0.33333333333333331</v>
      </c>
      <c r="G25" s="1">
        <v>0.49791666666666662</v>
      </c>
      <c r="H25" s="1">
        <f t="shared" si="3"/>
        <v>2.2916666666666752E-2</v>
      </c>
      <c r="J25">
        <v>37</v>
      </c>
      <c r="K25">
        <v>48.999999999999986</v>
      </c>
      <c r="L25">
        <v>17.999999999999936</v>
      </c>
      <c r="M25">
        <v>64</v>
      </c>
    </row>
    <row r="26" spans="1:19">
      <c r="A26" s="1">
        <v>0.50694444444444442</v>
      </c>
      <c r="B26" s="1">
        <f t="shared" si="0"/>
        <v>7.5000000000000067E-2</v>
      </c>
      <c r="C26" s="1">
        <v>0.20486111111111113</v>
      </c>
      <c r="D26" s="1">
        <f t="shared" si="4"/>
        <v>3.6805555555555536E-2</v>
      </c>
      <c r="E26" s="1">
        <v>0.7944444444444444</v>
      </c>
      <c r="F26" s="1">
        <f t="shared" si="4"/>
        <v>4.4444444444444509E-2</v>
      </c>
      <c r="G26" s="1">
        <v>0.52083333333333337</v>
      </c>
      <c r="H26" s="1">
        <f t="shared" si="3"/>
        <v>6.944444444444442E-2</v>
      </c>
      <c r="J26">
        <v>26.999999999999986</v>
      </c>
      <c r="K26">
        <v>255.99999999999994</v>
      </c>
      <c r="L26">
        <v>32.000000000000128</v>
      </c>
      <c r="M26">
        <v>10.000000000000004</v>
      </c>
    </row>
    <row r="27" spans="1:19">
      <c r="A27" s="1">
        <v>0.58194444444444449</v>
      </c>
      <c r="B27" s="1">
        <f t="shared" si="0"/>
        <v>8.3333333333333037E-3</v>
      </c>
      <c r="C27" s="1">
        <v>0.24166666666666667</v>
      </c>
      <c r="D27" s="1">
        <f t="shared" si="4"/>
        <v>0.1361111111111111</v>
      </c>
      <c r="E27" s="1">
        <v>0.83888888888888891</v>
      </c>
      <c r="F27" s="1">
        <f t="shared" si="4"/>
        <v>0.2284722222222223</v>
      </c>
      <c r="G27" s="1">
        <v>0.59027777777777779</v>
      </c>
      <c r="H27" s="1">
        <f t="shared" si="3"/>
        <v>8.3333333333333037E-3</v>
      </c>
      <c r="J27">
        <v>58.999999999999993</v>
      </c>
      <c r="K27">
        <v>99.999999999999972</v>
      </c>
      <c r="L27">
        <v>347.00000000000006</v>
      </c>
      <c r="M27">
        <v>40</v>
      </c>
      <c r="P27" t="s">
        <v>91</v>
      </c>
      <c r="Q27" t="s">
        <v>92</v>
      </c>
      <c r="R27" t="s">
        <v>93</v>
      </c>
      <c r="S27" t="s">
        <v>94</v>
      </c>
    </row>
    <row r="28" spans="1:19">
      <c r="A28" s="1">
        <v>0.59027777777777779</v>
      </c>
      <c r="B28" s="1">
        <f t="shared" si="0"/>
        <v>3.3333333333333326E-2</v>
      </c>
      <c r="C28" s="1">
        <v>0.37777777777777777</v>
      </c>
      <c r="D28" s="1">
        <f t="shared" si="4"/>
        <v>0.52777777777777779</v>
      </c>
      <c r="E28" s="2">
        <v>1.0673611111111112</v>
      </c>
      <c r="F28" s="1"/>
      <c r="G28" s="1">
        <v>0.59861111111111109</v>
      </c>
      <c r="H28" s="1">
        <f t="shared" si="3"/>
        <v>3.0555555555555558E-2</v>
      </c>
      <c r="J28">
        <v>41.000000000000014</v>
      </c>
      <c r="K28">
        <v>281.00000000000011</v>
      </c>
      <c r="L28">
        <v>61.99999999999978</v>
      </c>
      <c r="M28">
        <v>47.000000000000036</v>
      </c>
      <c r="P28">
        <v>25.999999999999996</v>
      </c>
      <c r="Q28">
        <v>64.999999999999972</v>
      </c>
      <c r="R28">
        <v>337</v>
      </c>
      <c r="S28">
        <v>23</v>
      </c>
    </row>
    <row r="29" spans="1:19">
      <c r="A29" s="1">
        <v>0.62361111111111112</v>
      </c>
      <c r="B29" s="1">
        <f t="shared" si="0"/>
        <v>7.4999999999999956E-2</v>
      </c>
      <c r="C29" s="1">
        <v>0.90555555555555556</v>
      </c>
      <c r="D29" s="1">
        <f t="shared" si="4"/>
        <v>0.18680555555555556</v>
      </c>
      <c r="F29" s="1"/>
      <c r="G29" s="1">
        <v>0.62916666666666665</v>
      </c>
      <c r="H29" s="1">
        <f t="shared" si="3"/>
        <v>7.1527777777777746E-2</v>
      </c>
      <c r="J29">
        <v>10.000000000000044</v>
      </c>
      <c r="K29">
        <v>5.9999999999999787</v>
      </c>
      <c r="L29">
        <v>87.000000000000171</v>
      </c>
      <c r="M29">
        <v>9.9999999999999645</v>
      </c>
      <c r="P29">
        <v>36.000000000000007</v>
      </c>
      <c r="Q29">
        <v>108.00000000000001</v>
      </c>
      <c r="R29">
        <v>95.999999999999972</v>
      </c>
      <c r="S29">
        <v>37.000000000000007</v>
      </c>
    </row>
    <row r="30" spans="1:19">
      <c r="A30" s="1">
        <v>0.69861111111111107</v>
      </c>
      <c r="B30" s="1">
        <f t="shared" si="0"/>
        <v>1.4583333333333393E-2</v>
      </c>
      <c r="C30" s="2">
        <v>1.0923611111111111</v>
      </c>
      <c r="G30" s="1">
        <v>0.7006944444444444</v>
      </c>
      <c r="H30" s="1">
        <f t="shared" si="3"/>
        <v>1.9444444444444597E-2</v>
      </c>
      <c r="J30">
        <v>70.999999999999943</v>
      </c>
      <c r="K30">
        <v>137.99999999999983</v>
      </c>
      <c r="L30">
        <v>21.999999999999922</v>
      </c>
      <c r="M30">
        <v>75.999999999999972</v>
      </c>
      <c r="P30">
        <v>37</v>
      </c>
      <c r="Q30">
        <v>48.999999999999986</v>
      </c>
      <c r="R30">
        <v>17.999999999999936</v>
      </c>
      <c r="S30">
        <v>64</v>
      </c>
    </row>
    <row r="31" spans="1:19">
      <c r="A31" s="1">
        <v>0.71319444444444446</v>
      </c>
      <c r="B31" s="1">
        <f t="shared" si="0"/>
        <v>6.9444444444444198E-4</v>
      </c>
      <c r="G31" s="1">
        <v>0.72013888888888899</v>
      </c>
      <c r="H31" s="1">
        <f t="shared" si="3"/>
        <v>1.4583333333333171E-2</v>
      </c>
      <c r="J31">
        <v>17.00000000000006</v>
      </c>
      <c r="K31">
        <v>25.000000000000071</v>
      </c>
      <c r="L31">
        <v>8.0000000000001315</v>
      </c>
      <c r="M31">
        <v>46.000000000000043</v>
      </c>
      <c r="P31">
        <v>26.999999999999986</v>
      </c>
      <c r="Q31">
        <v>255.99999999999994</v>
      </c>
      <c r="R31">
        <v>32.000000000000128</v>
      </c>
      <c r="S31">
        <v>10.000000000000004</v>
      </c>
    </row>
    <row r="32" spans="1:19">
      <c r="A32" s="1">
        <v>0.71388888888888891</v>
      </c>
      <c r="B32" s="1">
        <f t="shared" si="0"/>
        <v>3.1944444444444331E-2</v>
      </c>
      <c r="G32" s="1">
        <v>0.73472222222222217</v>
      </c>
      <c r="H32" s="1">
        <f t="shared" si="3"/>
        <v>1.5277777777777835E-2</v>
      </c>
      <c r="J32">
        <v>39.999999999999979</v>
      </c>
      <c r="K32">
        <v>55.000000000000128</v>
      </c>
      <c r="L32">
        <v>416.99999999999994</v>
      </c>
      <c r="M32">
        <v>8.999999999999968</v>
      </c>
      <c r="P32">
        <v>58.999999999999993</v>
      </c>
      <c r="Q32">
        <v>99.999999999999972</v>
      </c>
      <c r="R32">
        <v>347.00000000000006</v>
      </c>
      <c r="S32">
        <v>40</v>
      </c>
    </row>
    <row r="33" spans="1:19">
      <c r="A33" s="1">
        <v>0.74583333333333324</v>
      </c>
      <c r="B33" s="1">
        <f t="shared" si="0"/>
        <v>6.94444444444553E-4</v>
      </c>
      <c r="G33" s="1">
        <v>0.75</v>
      </c>
      <c r="H33" s="1">
        <f t="shared" si="3"/>
        <v>2.0833333333333259E-3</v>
      </c>
      <c r="J33">
        <v>23</v>
      </c>
      <c r="K33">
        <v>30.000000000000053</v>
      </c>
      <c r="L33">
        <v>154.00000000000009</v>
      </c>
      <c r="M33">
        <v>15.000000000000027</v>
      </c>
      <c r="P33">
        <v>41.000000000000014</v>
      </c>
      <c r="Q33">
        <v>281.00000000000011</v>
      </c>
      <c r="R33">
        <v>61.99999999999978</v>
      </c>
      <c r="S33">
        <v>47.000000000000036</v>
      </c>
    </row>
    <row r="34" spans="1:19">
      <c r="A34" s="1">
        <v>0.74652777777777779</v>
      </c>
      <c r="B34" s="1">
        <f t="shared" si="0"/>
        <v>3.472222222222221E-2</v>
      </c>
      <c r="G34" s="1">
        <v>0.75208333333333333</v>
      </c>
      <c r="H34" s="1">
        <f t="shared" si="3"/>
        <v>3.9583333333333304E-2</v>
      </c>
      <c r="J34">
        <v>39.999999999999936</v>
      </c>
      <c r="K34">
        <v>17.999999999999776</v>
      </c>
      <c r="L34">
        <v>267.99999999999966</v>
      </c>
      <c r="M34">
        <v>47.999999999999986</v>
      </c>
      <c r="P34">
        <v>10.000000000000044</v>
      </c>
      <c r="Q34">
        <v>5.9999999999999787</v>
      </c>
      <c r="R34">
        <v>87.000000000000171</v>
      </c>
      <c r="S34">
        <v>9.9999999999999645</v>
      </c>
    </row>
    <row r="35" spans="1:19">
      <c r="A35" s="1">
        <v>0.78125</v>
      </c>
      <c r="B35" s="1">
        <f t="shared" si="0"/>
        <v>1.041666666666663E-2</v>
      </c>
      <c r="G35" s="1">
        <v>0.79166666666666663</v>
      </c>
      <c r="H35" s="1">
        <f t="shared" si="3"/>
        <v>5.6250000000000133E-2</v>
      </c>
      <c r="J35">
        <v>51.999999999999972</v>
      </c>
      <c r="K35">
        <v>54.999999999999964</v>
      </c>
      <c r="L35">
        <v>180</v>
      </c>
      <c r="M35">
        <v>53.999999999999972</v>
      </c>
      <c r="P35">
        <v>70.999999999999943</v>
      </c>
      <c r="Q35">
        <v>137.99999999999983</v>
      </c>
      <c r="R35">
        <v>21.999999999999922</v>
      </c>
      <c r="S35">
        <v>75.999999999999972</v>
      </c>
    </row>
    <row r="36" spans="1:19">
      <c r="A36" s="1">
        <v>0.79166666666666663</v>
      </c>
      <c r="B36" s="1">
        <f t="shared" si="0"/>
        <v>4.3750000000000067E-2</v>
      </c>
      <c r="G36" s="1">
        <v>0.84791666666666676</v>
      </c>
      <c r="H36" s="1">
        <f t="shared" si="3"/>
        <v>2.7777777777777679E-3</v>
      </c>
      <c r="J36">
        <v>5.0000000000000622</v>
      </c>
      <c r="K36">
        <v>76.000000000000057</v>
      </c>
      <c r="L36">
        <v>94.000000000000313</v>
      </c>
      <c r="M36">
        <v>64.000000000000085</v>
      </c>
      <c r="P36">
        <v>17.00000000000006</v>
      </c>
      <c r="Q36">
        <v>25.000000000000071</v>
      </c>
      <c r="R36">
        <v>8.0000000000001315</v>
      </c>
      <c r="S36">
        <v>46.000000000000043</v>
      </c>
    </row>
    <row r="37" spans="1:19">
      <c r="A37" s="1">
        <v>0.8354166666666667</v>
      </c>
      <c r="B37" s="1">
        <f t="shared" si="0"/>
        <v>0</v>
      </c>
      <c r="G37" s="1">
        <v>0.85069444444444453</v>
      </c>
      <c r="H37" s="1">
        <f t="shared" si="3"/>
        <v>3.4722222222220989E-3</v>
      </c>
      <c r="J37">
        <v>67</v>
      </c>
      <c r="K37" s="4"/>
      <c r="L37" s="4"/>
      <c r="M37">
        <v>8.9999999999998881</v>
      </c>
      <c r="P37">
        <v>39.999999999999979</v>
      </c>
      <c r="Q37">
        <v>55.000000000000128</v>
      </c>
      <c r="R37">
        <v>416.99999999999994</v>
      </c>
      <c r="S37">
        <v>8.999999999999968</v>
      </c>
    </row>
    <row r="38" spans="1:19">
      <c r="A38" s="1">
        <v>0.8354166666666667</v>
      </c>
      <c r="B38" s="1">
        <f t="shared" si="0"/>
        <v>6.9444444444444198E-4</v>
      </c>
      <c r="G38" s="1">
        <v>0.85416666666666663</v>
      </c>
      <c r="H38" s="1">
        <f t="shared" si="3"/>
        <v>0.18958333333333333</v>
      </c>
      <c r="J38">
        <v>90</v>
      </c>
      <c r="K38">
        <v>1</v>
      </c>
      <c r="L38">
        <v>52.00000000000005</v>
      </c>
      <c r="M38">
        <v>87.000000000000085</v>
      </c>
      <c r="P38">
        <v>23</v>
      </c>
      <c r="Q38">
        <v>30.000000000000053</v>
      </c>
      <c r="R38">
        <v>154.00000000000009</v>
      </c>
      <c r="S38">
        <v>15.000000000000027</v>
      </c>
    </row>
    <row r="39" spans="1:19">
      <c r="A39" s="1">
        <v>0.83611111111111114</v>
      </c>
      <c r="B39" s="1">
        <f t="shared" si="0"/>
        <v>0.20208333333333328</v>
      </c>
      <c r="G39" s="2">
        <v>1.04375</v>
      </c>
      <c r="H39" s="1">
        <f t="shared" si="3"/>
        <v>5.3472222222222143E-2</v>
      </c>
      <c r="J39">
        <v>24.000000000000075</v>
      </c>
      <c r="K39">
        <v>69.999999999999986</v>
      </c>
      <c r="L39">
        <v>45.999999999999915</v>
      </c>
      <c r="M39">
        <v>29.999999999999972</v>
      </c>
      <c r="P39">
        <v>39.999999999999936</v>
      </c>
      <c r="Q39">
        <v>17.999999999999776</v>
      </c>
      <c r="R39">
        <v>267.99999999999966</v>
      </c>
      <c r="S39">
        <v>47.999999999999986</v>
      </c>
    </row>
    <row r="40" spans="1:19">
      <c r="A40" s="2">
        <v>1.0381944444444444</v>
      </c>
      <c r="B40" s="1">
        <f t="shared" si="0"/>
        <v>5.0694444444444375E-2</v>
      </c>
      <c r="G40" s="2">
        <v>1.0972222222222221</v>
      </c>
      <c r="H40" s="1">
        <f t="shared" si="3"/>
        <v>1.3888888888889062E-2</v>
      </c>
      <c r="J40">
        <v>27.999999999999979</v>
      </c>
      <c r="K40">
        <v>223.00000000000006</v>
      </c>
      <c r="L40">
        <v>480</v>
      </c>
      <c r="M40">
        <v>19.999999999999929</v>
      </c>
      <c r="P40">
        <v>51.999999999999972</v>
      </c>
      <c r="Q40">
        <v>54.999999999999964</v>
      </c>
      <c r="R40">
        <v>180</v>
      </c>
      <c r="S40">
        <v>53.999999999999972</v>
      </c>
    </row>
    <row r="41" spans="1:19">
      <c r="A41" s="2">
        <v>1.0888888888888888</v>
      </c>
      <c r="B41" s="1">
        <f t="shared" si="0"/>
        <v>2.083333333333437E-3</v>
      </c>
      <c r="G41" s="2">
        <v>1.1111111111111112</v>
      </c>
      <c r="H41" s="1">
        <f t="shared" si="3"/>
        <v>7.2222222222222188E-2</v>
      </c>
      <c r="J41">
        <v>23.999999999999915</v>
      </c>
      <c r="K41">
        <v>52.999999999999972</v>
      </c>
      <c r="L41">
        <v>64.000000000000085</v>
      </c>
      <c r="M41">
        <v>33.000000000000121</v>
      </c>
      <c r="P41">
        <v>5.0000000000000622</v>
      </c>
      <c r="Q41">
        <v>76.000000000000057</v>
      </c>
      <c r="R41">
        <v>94.000000000000313</v>
      </c>
      <c r="S41">
        <v>64.000000000000085</v>
      </c>
    </row>
    <row r="42" spans="1:19">
      <c r="A42" s="2">
        <v>1.0909722222222222</v>
      </c>
      <c r="B42" s="1">
        <f t="shared" si="0"/>
        <v>1.3194444444444509E-2</v>
      </c>
      <c r="G42" s="2">
        <v>1.1833333333333333</v>
      </c>
      <c r="H42" s="1">
        <f t="shared" si="3"/>
        <v>3.4722222222223209E-3</v>
      </c>
      <c r="J42">
        <v>108.0000000000001</v>
      </c>
      <c r="K42">
        <v>196</v>
      </c>
      <c r="L42">
        <v>329.00000000000011</v>
      </c>
      <c r="M42">
        <v>99.999999999999972</v>
      </c>
      <c r="P42">
        <v>67</v>
      </c>
      <c r="Q42">
        <v>1</v>
      </c>
      <c r="R42">
        <v>52.00000000000005</v>
      </c>
      <c r="S42">
        <v>8.9999999999998881</v>
      </c>
    </row>
    <row r="43" spans="1:19">
      <c r="A43" s="2">
        <v>1.1041666666666667</v>
      </c>
      <c r="B43" s="1">
        <f t="shared" si="0"/>
        <v>2.152777777777759E-2</v>
      </c>
      <c r="G43" s="2">
        <v>1.1868055555555557</v>
      </c>
      <c r="H43" s="1">
        <f t="shared" si="3"/>
        <v>1.5277777777777724E-2</v>
      </c>
      <c r="J43">
        <v>11.999999999999957</v>
      </c>
      <c r="K43">
        <v>760.00000000000011</v>
      </c>
      <c r="M43">
        <v>11.999999999999957</v>
      </c>
      <c r="P43">
        <v>90</v>
      </c>
      <c r="Q43">
        <v>69.999999999999986</v>
      </c>
      <c r="R43">
        <v>45.999999999999915</v>
      </c>
      <c r="S43">
        <v>87.000000000000085</v>
      </c>
    </row>
    <row r="44" spans="1:19">
      <c r="A44" s="2">
        <v>1.1256944444444443</v>
      </c>
      <c r="B44" s="1">
        <f t="shared" si="0"/>
        <v>1.2500000000000178E-2</v>
      </c>
      <c r="G44" s="2">
        <v>1.2020833333333334</v>
      </c>
      <c r="H44" s="1">
        <f t="shared" si="3"/>
        <v>8.8194444444444242E-2</v>
      </c>
      <c r="J44">
        <v>47.999999999999986</v>
      </c>
      <c r="K44">
        <v>269</v>
      </c>
      <c r="M44">
        <v>44</v>
      </c>
      <c r="P44">
        <v>24.000000000000075</v>
      </c>
      <c r="Q44">
        <v>223.00000000000006</v>
      </c>
      <c r="R44">
        <v>480</v>
      </c>
      <c r="S44">
        <v>29.999999999999972</v>
      </c>
    </row>
    <row r="45" spans="1:19">
      <c r="A45" s="2">
        <v>1.1381944444444445</v>
      </c>
      <c r="B45" s="1">
        <f t="shared" si="0"/>
        <v>4.0277777777777857E-2</v>
      </c>
      <c r="G45" s="2">
        <v>1.2902777777777776</v>
      </c>
      <c r="H45" s="1">
        <f t="shared" si="3"/>
        <v>3.4722222222223209E-3</v>
      </c>
      <c r="J45">
        <v>107.99999999999994</v>
      </c>
      <c r="M45">
        <v>102.99999999999994</v>
      </c>
      <c r="P45">
        <v>27.999999999999979</v>
      </c>
      <c r="Q45">
        <v>52.999999999999972</v>
      </c>
      <c r="R45">
        <v>64.000000000000085</v>
      </c>
      <c r="S45">
        <v>19.999999999999929</v>
      </c>
    </row>
    <row r="46" spans="1:19">
      <c r="A46" s="2">
        <v>1.1784722222222224</v>
      </c>
      <c r="B46" s="1">
        <f t="shared" si="0"/>
        <v>2.0833333333332149E-3</v>
      </c>
      <c r="G46" s="2">
        <v>1.29375</v>
      </c>
      <c r="H46" s="1">
        <f t="shared" si="3"/>
        <v>2.7777777777777679E-3</v>
      </c>
      <c r="J46">
        <v>21.000000000000085</v>
      </c>
      <c r="M46">
        <v>28.00000000000022</v>
      </c>
      <c r="P46">
        <v>23.999999999999915</v>
      </c>
      <c r="Q46">
        <v>196</v>
      </c>
      <c r="R46">
        <v>329.00000000000011</v>
      </c>
      <c r="S46">
        <v>33.000000000000121</v>
      </c>
    </row>
    <row r="47" spans="1:19">
      <c r="A47" s="2">
        <v>1.1805555555555556</v>
      </c>
      <c r="B47" s="1">
        <f t="shared" si="0"/>
        <v>1.1805555555555625E-2</v>
      </c>
      <c r="G47" s="2">
        <v>1.2965277777777777</v>
      </c>
      <c r="H47" s="1">
        <f t="shared" si="3"/>
        <v>2.430555555555558E-2</v>
      </c>
      <c r="J47">
        <v>0.99999999999999645</v>
      </c>
      <c r="M47">
        <v>20.999999999999766</v>
      </c>
      <c r="P47">
        <v>108.0000000000001</v>
      </c>
      <c r="Q47">
        <v>760.00000000000011</v>
      </c>
      <c r="S47">
        <v>99.999999999999972</v>
      </c>
    </row>
    <row r="48" spans="1:19">
      <c r="A48" s="2">
        <v>1.1923611111111112</v>
      </c>
      <c r="B48" s="1">
        <f t="shared" si="0"/>
        <v>5.9722222222222232E-2</v>
      </c>
      <c r="G48" s="2">
        <v>1.3208333333333333</v>
      </c>
      <c r="H48" s="1">
        <f t="shared" si="3"/>
        <v>5.0694444444444375E-2</v>
      </c>
      <c r="J48">
        <v>45.999999999999837</v>
      </c>
      <c r="M48">
        <v>22.000000000000082</v>
      </c>
      <c r="P48">
        <v>11.999999999999957</v>
      </c>
      <c r="Q48">
        <v>269</v>
      </c>
      <c r="S48">
        <v>11.999999999999957</v>
      </c>
    </row>
    <row r="49" spans="1:19">
      <c r="A49" s="2">
        <v>1.2520833333333334</v>
      </c>
      <c r="B49" s="1">
        <f t="shared" si="0"/>
        <v>2.7777777777777679E-2</v>
      </c>
      <c r="G49" s="2">
        <v>1.3715277777777777</v>
      </c>
      <c r="H49" s="1">
        <f t="shared" si="3"/>
        <v>5.0694444444444597E-2</v>
      </c>
      <c r="J49">
        <v>1.0000000000001563</v>
      </c>
      <c r="M49">
        <v>2.9999999999999893</v>
      </c>
      <c r="P49">
        <v>47.999999999999986</v>
      </c>
      <c r="S49">
        <v>44</v>
      </c>
    </row>
    <row r="50" spans="1:19">
      <c r="A50" s="2">
        <v>1.2798611111111111</v>
      </c>
      <c r="B50" s="1">
        <f t="shared" si="0"/>
        <v>2.7777777777777679E-3</v>
      </c>
      <c r="G50" s="2">
        <v>1.4222222222222223</v>
      </c>
      <c r="H50" s="1">
        <f t="shared" si="3"/>
        <v>8.4722222222222143E-2</v>
      </c>
      <c r="J50">
        <v>49.999999999999986</v>
      </c>
      <c r="M50">
        <v>56.999999999999957</v>
      </c>
      <c r="P50">
        <v>107.99999999999994</v>
      </c>
      <c r="S50">
        <v>102.99999999999994</v>
      </c>
    </row>
    <row r="51" spans="1:19">
      <c r="A51" s="2">
        <v>1.2826388888888889</v>
      </c>
      <c r="B51" s="1">
        <f t="shared" si="0"/>
        <v>3.3333333333333215E-2</v>
      </c>
      <c r="G51" s="2">
        <v>1.5069444444444444</v>
      </c>
      <c r="H51" s="1">
        <f t="shared" si="3"/>
        <v>5.6944444444444464E-2</v>
      </c>
      <c r="J51">
        <v>14.999999999999947</v>
      </c>
      <c r="M51">
        <v>81.000000000000199</v>
      </c>
      <c r="P51">
        <v>21.000000000000085</v>
      </c>
      <c r="S51">
        <v>28.00000000000022</v>
      </c>
    </row>
    <row r="52" spans="1:19">
      <c r="A52" s="2">
        <v>1.3159722222222221</v>
      </c>
      <c r="B52" s="1">
        <f t="shared" si="0"/>
        <v>4.7222222222222499E-2</v>
      </c>
      <c r="G52" s="2">
        <v>1.5638888888888889</v>
      </c>
      <c r="H52" s="1">
        <f t="shared" si="3"/>
        <v>6.9444444444446418E-3</v>
      </c>
      <c r="J52">
        <v>63.000000000000099</v>
      </c>
      <c r="L52" s="2"/>
      <c r="M52">
        <v>3.9999999999999858</v>
      </c>
      <c r="P52">
        <v>0.99999999999999645</v>
      </c>
      <c r="S52">
        <v>20.999999999999766</v>
      </c>
    </row>
    <row r="53" spans="1:19">
      <c r="A53" s="2">
        <v>1.3631944444444446</v>
      </c>
      <c r="B53" s="1">
        <f t="shared" si="0"/>
        <v>5.1388888888888928E-2</v>
      </c>
      <c r="G53" s="2">
        <v>1.5708333333333335</v>
      </c>
      <c r="H53" s="1">
        <f t="shared" si="3"/>
        <v>1.1111111111111072E-2</v>
      </c>
      <c r="J53">
        <v>0</v>
      </c>
      <c r="L53" s="2"/>
      <c r="M53">
        <v>4.9999999999998224</v>
      </c>
      <c r="P53">
        <v>45.999999999999837</v>
      </c>
      <c r="S53">
        <v>22.000000000000082</v>
      </c>
    </row>
    <row r="54" spans="1:19">
      <c r="A54" s="2">
        <v>1.4145833333333335</v>
      </c>
      <c r="B54" s="1">
        <f t="shared" si="0"/>
        <v>5.1388888888888484E-2</v>
      </c>
      <c r="G54" s="2">
        <v>1.5819444444444446</v>
      </c>
      <c r="H54" s="1">
        <f t="shared" si="3"/>
        <v>7.6388888888887507E-3</v>
      </c>
      <c r="J54">
        <v>0.99999999999999645</v>
      </c>
      <c r="L54" s="2"/>
      <c r="M54">
        <v>273</v>
      </c>
      <c r="P54">
        <v>1.0000000000001563</v>
      </c>
      <c r="S54">
        <v>2.9999999999999893</v>
      </c>
    </row>
    <row r="55" spans="1:19">
      <c r="A55" s="2">
        <v>1.465972222222222</v>
      </c>
      <c r="B55" s="1">
        <f t="shared" si="0"/>
        <v>3.1944444444444775E-2</v>
      </c>
      <c r="G55" s="2">
        <v>1.5895833333333333</v>
      </c>
      <c r="H55" s="1">
        <f t="shared" si="3"/>
        <v>0.10625000000000018</v>
      </c>
      <c r="J55">
        <v>290.99999999999994</v>
      </c>
      <c r="M55">
        <v>76.999999999999886</v>
      </c>
      <c r="P55">
        <v>49.999999999999986</v>
      </c>
      <c r="S55">
        <v>56.999999999999957</v>
      </c>
    </row>
    <row r="56" spans="1:19">
      <c r="A56" s="2">
        <v>1.4979166666666668</v>
      </c>
      <c r="B56" s="1">
        <f t="shared" si="0"/>
        <v>2.7777777777777679E-2</v>
      </c>
      <c r="G56" s="2">
        <v>1.6958333333333335</v>
      </c>
      <c r="H56" s="4"/>
      <c r="J56">
        <v>72.999999999999901</v>
      </c>
      <c r="M56">
        <v>20.000000000000249</v>
      </c>
      <c r="P56">
        <v>14.999999999999947</v>
      </c>
      <c r="S56">
        <v>81.000000000000199</v>
      </c>
    </row>
    <row r="57" spans="1:19">
      <c r="A57" s="2">
        <v>1.5256944444444445</v>
      </c>
      <c r="B57" s="1">
        <f t="shared" si="0"/>
        <v>2.6388888888888795E-2</v>
      </c>
      <c r="G57" s="4"/>
      <c r="J57">
        <v>3.0000000000001492</v>
      </c>
      <c r="M57">
        <v>103.99999999999994</v>
      </c>
      <c r="P57">
        <v>63.000000000000099</v>
      </c>
      <c r="S57">
        <v>3.9999999999999858</v>
      </c>
    </row>
    <row r="58" spans="1:19">
      <c r="A58" s="2">
        <v>1.5520833333333333</v>
      </c>
      <c r="B58" s="1">
        <f t="shared" si="0"/>
        <v>9.5138888888888884E-2</v>
      </c>
      <c r="G58" s="1">
        <v>2.8472222222222222E-2</v>
      </c>
      <c r="H58" s="1">
        <f>G59-G58</f>
        <v>6.9444444444444441E-3</v>
      </c>
      <c r="J58">
        <v>19.000000000000092</v>
      </c>
      <c r="M58">
        <v>5.0000000000001421</v>
      </c>
      <c r="P58">
        <v>0</v>
      </c>
      <c r="S58">
        <v>4.9999999999998224</v>
      </c>
    </row>
    <row r="59" spans="1:19">
      <c r="A59" s="2">
        <v>1.6472222222222221</v>
      </c>
      <c r="B59" s="1">
        <f t="shared" si="0"/>
        <v>2.5694444444444464E-2</v>
      </c>
      <c r="G59" s="1">
        <v>3.5416666666666666E-2</v>
      </c>
      <c r="H59" s="1">
        <f t="shared" ref="H59:H99" si="5">G60-G59</f>
        <v>6.2499999999999986E-3</v>
      </c>
      <c r="J59">
        <v>30.99999999999973</v>
      </c>
      <c r="M59">
        <v>21.999999999999922</v>
      </c>
      <c r="P59">
        <v>0.99999999999999645</v>
      </c>
      <c r="S59">
        <v>273</v>
      </c>
    </row>
    <row r="60" spans="1:19">
      <c r="A60" s="2">
        <v>1.6729166666666666</v>
      </c>
      <c r="B60" s="1">
        <f t="shared" si="0"/>
        <v>4.8611111111112049E-3</v>
      </c>
      <c r="G60" s="1">
        <v>4.1666666666666664E-2</v>
      </c>
      <c r="H60" s="1">
        <f t="shared" si="5"/>
        <v>2.0138888888888894E-2</v>
      </c>
      <c r="J60">
        <v>18.000000000000256</v>
      </c>
      <c r="M60">
        <v>126.99999999999972</v>
      </c>
      <c r="P60">
        <v>290.99999999999994</v>
      </c>
      <c r="S60">
        <v>76.999999999999886</v>
      </c>
    </row>
    <row r="61" spans="1:19">
      <c r="A61" s="2">
        <v>1.6777777777777778</v>
      </c>
      <c r="B61" s="1">
        <f t="shared" si="0"/>
        <v>7.2222222222222188E-2</v>
      </c>
      <c r="G61" s="1">
        <v>6.1805555555555558E-2</v>
      </c>
      <c r="H61" s="1">
        <f t="shared" si="5"/>
        <v>1.6666666666666663E-2</v>
      </c>
      <c r="J61">
        <v>58.000000000000114</v>
      </c>
      <c r="M61">
        <v>5.0000000000001421</v>
      </c>
      <c r="P61">
        <v>72.999999999999901</v>
      </c>
      <c r="S61">
        <v>20.000000000000249</v>
      </c>
    </row>
    <row r="62" spans="1:19">
      <c r="A62" s="2">
        <v>1.75</v>
      </c>
      <c r="B62" s="4"/>
      <c r="G62" s="1">
        <v>7.8472222222222221E-2</v>
      </c>
      <c r="H62" s="1">
        <f t="shared" si="5"/>
        <v>4.1666666666666657E-3</v>
      </c>
      <c r="J62">
        <v>2.9999999999998295</v>
      </c>
      <c r="M62">
        <v>3.9999999999999858</v>
      </c>
      <c r="P62">
        <v>3.0000000000001492</v>
      </c>
      <c r="S62">
        <v>103.99999999999994</v>
      </c>
    </row>
    <row r="63" spans="1:19">
      <c r="A63" s="4"/>
      <c r="G63" s="1">
        <v>8.2638888888888887E-2</v>
      </c>
      <c r="H63" s="1">
        <f t="shared" si="5"/>
        <v>1.8055555555555547E-2</v>
      </c>
      <c r="J63">
        <v>17.000000000000099</v>
      </c>
      <c r="M63">
        <v>35.000000000000036</v>
      </c>
      <c r="P63">
        <v>19.000000000000092</v>
      </c>
      <c r="S63">
        <v>5.0000000000001421</v>
      </c>
    </row>
    <row r="64" spans="1:19">
      <c r="A64" s="1">
        <v>6.9444444444444447E-4</v>
      </c>
      <c r="B64" s="1">
        <f>A65-A64</f>
        <v>6.9444444444444447E-4</v>
      </c>
      <c r="G64" s="1">
        <v>0.10069444444444443</v>
      </c>
      <c r="H64" s="1">
        <f t="shared" si="5"/>
        <v>8.3333333333333454E-3</v>
      </c>
      <c r="J64">
        <v>86.000000000000014</v>
      </c>
      <c r="M64">
        <v>72.999999999999901</v>
      </c>
      <c r="P64">
        <v>30.99999999999973</v>
      </c>
      <c r="S64">
        <v>21.999999999999922</v>
      </c>
    </row>
    <row r="65" spans="1:19">
      <c r="A65" s="1">
        <v>1.3888888888888889E-3</v>
      </c>
      <c r="B65" s="1">
        <f t="shared" ref="B65:B110" si="6">A66-A65</f>
        <v>2.1527777777777781E-2</v>
      </c>
      <c r="G65" s="1">
        <v>0.10902777777777778</v>
      </c>
      <c r="H65" s="1">
        <f t="shared" si="5"/>
        <v>7.2222222222222215E-2</v>
      </c>
      <c r="J65">
        <v>39.999999999999858</v>
      </c>
      <c r="M65">
        <v>73.000000000000227</v>
      </c>
      <c r="P65">
        <v>18.000000000000256</v>
      </c>
      <c r="S65">
        <v>126.99999999999972</v>
      </c>
    </row>
    <row r="66" spans="1:19">
      <c r="A66" s="1">
        <v>2.2916666666666669E-2</v>
      </c>
      <c r="B66" s="1">
        <f t="shared" si="6"/>
        <v>9.7222222222222224E-3</v>
      </c>
      <c r="G66" s="1">
        <v>0.18124999999999999</v>
      </c>
      <c r="H66" s="1">
        <f t="shared" si="5"/>
        <v>1.7361111111111105E-2</v>
      </c>
      <c r="J66">
        <v>3.9999999999999858</v>
      </c>
      <c r="M66">
        <v>121.99999999999989</v>
      </c>
      <c r="P66">
        <v>58.000000000000114</v>
      </c>
      <c r="S66">
        <v>5.0000000000001421</v>
      </c>
    </row>
    <row r="67" spans="1:19">
      <c r="A67" s="1">
        <v>3.2638888888888891E-2</v>
      </c>
      <c r="B67" s="1">
        <f t="shared" si="6"/>
        <v>5.5555555555555497E-3</v>
      </c>
      <c r="G67" s="1">
        <v>0.1986111111111111</v>
      </c>
      <c r="H67" s="1">
        <f t="shared" si="5"/>
        <v>3.4027777777777768E-2</v>
      </c>
      <c r="J67">
        <v>47.999999999999829</v>
      </c>
      <c r="M67">
        <v>82.000000000000028</v>
      </c>
      <c r="P67">
        <v>2.9999999999998295</v>
      </c>
      <c r="S67">
        <v>3.9999999999999858</v>
      </c>
    </row>
    <row r="68" spans="1:19">
      <c r="A68" s="1">
        <v>3.8194444444444441E-2</v>
      </c>
      <c r="B68" s="1">
        <f t="shared" si="6"/>
        <v>1.7361111111111112E-2</v>
      </c>
      <c r="G68" s="1">
        <v>0.23263888888888887</v>
      </c>
      <c r="H68" s="1">
        <f t="shared" si="5"/>
        <v>2.2222222222222227E-2</v>
      </c>
      <c r="J68">
        <v>68.000000000000398</v>
      </c>
      <c r="M68">
        <v>10.000000000000284</v>
      </c>
      <c r="P68">
        <v>17.000000000000099</v>
      </c>
      <c r="S68">
        <v>35.000000000000036</v>
      </c>
    </row>
    <row r="69" spans="1:19">
      <c r="A69" s="1">
        <v>5.5555555555555552E-2</v>
      </c>
      <c r="B69" s="1">
        <f t="shared" si="6"/>
        <v>9.0277777777777873E-3</v>
      </c>
      <c r="G69" s="1">
        <v>0.25486111111111109</v>
      </c>
      <c r="H69" s="1">
        <f t="shared" si="5"/>
        <v>4.4444444444444453E-2</v>
      </c>
      <c r="J69">
        <v>74.000000000000057</v>
      </c>
      <c r="M69">
        <v>15.999999999999943</v>
      </c>
      <c r="P69">
        <v>86.000000000000014</v>
      </c>
      <c r="S69">
        <v>72.999999999999901</v>
      </c>
    </row>
    <row r="70" spans="1:19">
      <c r="A70" s="1">
        <v>6.458333333333334E-2</v>
      </c>
      <c r="B70" s="1">
        <f t="shared" si="6"/>
        <v>1.1805555555555555E-2</v>
      </c>
      <c r="G70" s="1">
        <v>0.29930555555555555</v>
      </c>
      <c r="H70" s="1">
        <f t="shared" si="5"/>
        <v>5.5555555555555358E-3</v>
      </c>
      <c r="J70">
        <v>73.999999999999417</v>
      </c>
      <c r="M70">
        <v>10.999999999999801</v>
      </c>
      <c r="P70">
        <v>39.999999999999858</v>
      </c>
      <c r="S70">
        <v>73.000000000000227</v>
      </c>
    </row>
    <row r="71" spans="1:19">
      <c r="A71" s="1">
        <v>7.6388888888888895E-2</v>
      </c>
      <c r="B71" s="1">
        <f t="shared" si="6"/>
        <v>3.4722222222222099E-3</v>
      </c>
      <c r="G71" s="1">
        <v>0.30486111111111108</v>
      </c>
      <c r="H71" s="1">
        <f t="shared" si="5"/>
        <v>3.4722222222222654E-3</v>
      </c>
      <c r="J71">
        <v>46.000000000000476</v>
      </c>
      <c r="M71">
        <v>153.00000000000026</v>
      </c>
      <c r="P71">
        <v>3.9999999999999858</v>
      </c>
      <c r="S71">
        <v>121.99999999999989</v>
      </c>
    </row>
    <row r="72" spans="1:19">
      <c r="A72" s="1">
        <v>7.9861111111111105E-2</v>
      </c>
      <c r="B72" s="1">
        <f t="shared" si="6"/>
        <v>1.7361111111111119E-2</v>
      </c>
      <c r="G72" s="1">
        <v>0.30833333333333335</v>
      </c>
      <c r="H72" s="1">
        <f t="shared" si="5"/>
        <v>5.9722222222222232E-2</v>
      </c>
      <c r="J72">
        <v>39.999999999999858</v>
      </c>
      <c r="M72" s="4"/>
      <c r="P72">
        <v>47.999999999999829</v>
      </c>
      <c r="S72">
        <v>82.000000000000028</v>
      </c>
    </row>
    <row r="73" spans="1:19">
      <c r="A73" s="1">
        <v>9.7222222222222224E-2</v>
      </c>
      <c r="B73" s="1">
        <f t="shared" si="6"/>
        <v>5.5555555555555636E-3</v>
      </c>
      <c r="G73" s="1">
        <v>0.36805555555555558</v>
      </c>
      <c r="H73" s="1">
        <f t="shared" si="5"/>
        <v>3.4722222222221544E-3</v>
      </c>
      <c r="J73">
        <v>37.999999999999865</v>
      </c>
      <c r="L73" s="2"/>
      <c r="M73">
        <v>10</v>
      </c>
      <c r="P73">
        <v>68.000000000000398</v>
      </c>
      <c r="S73">
        <v>10.000000000000284</v>
      </c>
    </row>
    <row r="74" spans="1:19">
      <c r="A74" s="1">
        <v>0.10277777777777779</v>
      </c>
      <c r="B74" s="1">
        <f t="shared" si="6"/>
        <v>6.9444444444444461E-2</v>
      </c>
      <c r="G74" s="1">
        <v>0.37152777777777773</v>
      </c>
      <c r="H74" s="1">
        <f t="shared" si="5"/>
        <v>1.388888888888884E-3</v>
      </c>
      <c r="J74">
        <v>137</v>
      </c>
      <c r="L74" s="2"/>
      <c r="M74">
        <v>8.9999999999999964</v>
      </c>
      <c r="P74">
        <v>74.000000000000057</v>
      </c>
      <c r="S74">
        <v>15.999999999999943</v>
      </c>
    </row>
    <row r="75" spans="1:19">
      <c r="A75" s="1">
        <v>0.17222222222222225</v>
      </c>
      <c r="B75" s="1">
        <f t="shared" si="6"/>
        <v>1.8055555555555519E-2</v>
      </c>
      <c r="G75" s="1">
        <v>0.37291666666666662</v>
      </c>
      <c r="H75" s="1">
        <f t="shared" si="5"/>
        <v>7.5000000000000067E-2</v>
      </c>
      <c r="J75">
        <v>37.000000000000028</v>
      </c>
      <c r="L75" s="2"/>
      <c r="M75">
        <v>29.000000000000007</v>
      </c>
      <c r="P75">
        <v>73.999999999999417</v>
      </c>
      <c r="S75">
        <v>10.999999999999801</v>
      </c>
    </row>
    <row r="76" spans="1:19">
      <c r="A76" s="1">
        <v>0.19027777777777777</v>
      </c>
      <c r="B76" s="1">
        <f t="shared" si="6"/>
        <v>3.1944444444444442E-2</v>
      </c>
      <c r="G76" s="1">
        <v>0.44791666666666669</v>
      </c>
      <c r="H76" s="1">
        <f t="shared" si="5"/>
        <v>7.6388888888888618E-3</v>
      </c>
      <c r="J76">
        <v>7.000000000000135</v>
      </c>
      <c r="M76">
        <v>23.999999999999993</v>
      </c>
      <c r="P76">
        <v>46.000000000000476</v>
      </c>
      <c r="S76">
        <v>153.00000000000026</v>
      </c>
    </row>
    <row r="77" spans="1:19">
      <c r="A77" s="1">
        <v>0.22222222222222221</v>
      </c>
      <c r="B77" s="1">
        <f t="shared" si="6"/>
        <v>1.2499999999999983E-2</v>
      </c>
      <c r="G77" s="1">
        <v>0.45555555555555555</v>
      </c>
      <c r="H77" s="1">
        <f t="shared" si="5"/>
        <v>2.0138888888888873E-2</v>
      </c>
      <c r="J77">
        <v>103.99999999999997</v>
      </c>
      <c r="M77">
        <v>5.9999999999999982</v>
      </c>
      <c r="P77">
        <v>39.999999999999858</v>
      </c>
      <c r="S77">
        <v>10</v>
      </c>
    </row>
    <row r="78" spans="1:19">
      <c r="A78" s="1">
        <v>0.23472222222222219</v>
      </c>
      <c r="B78" s="1">
        <f t="shared" si="6"/>
        <v>1.4583333333333365E-2</v>
      </c>
      <c r="G78" s="1">
        <v>0.47569444444444442</v>
      </c>
      <c r="H78" s="1">
        <f t="shared" si="5"/>
        <v>9.7222222222222432E-3</v>
      </c>
      <c r="J78" s="4"/>
      <c r="M78">
        <v>25.999999999999986</v>
      </c>
      <c r="P78">
        <v>37.999999999999865</v>
      </c>
      <c r="S78">
        <v>8.9999999999999964</v>
      </c>
    </row>
    <row r="79" spans="1:19">
      <c r="A79" s="1">
        <v>0.24930555555555556</v>
      </c>
      <c r="B79" s="1">
        <f t="shared" si="6"/>
        <v>4.4444444444444453E-2</v>
      </c>
      <c r="G79" s="1">
        <v>0.48541666666666666</v>
      </c>
      <c r="H79" s="1">
        <f t="shared" si="5"/>
        <v>2.4999999999999967E-2</v>
      </c>
      <c r="J79">
        <v>1</v>
      </c>
      <c r="M79">
        <v>12.000000000000016</v>
      </c>
      <c r="P79">
        <v>137</v>
      </c>
      <c r="S79">
        <v>29.000000000000007</v>
      </c>
    </row>
    <row r="80" spans="1:19">
      <c r="A80" s="1">
        <v>0.29375000000000001</v>
      </c>
      <c r="B80" s="1">
        <f t="shared" si="6"/>
        <v>5.902777777777779E-2</v>
      </c>
      <c r="G80" s="1">
        <v>0.51041666666666663</v>
      </c>
      <c r="H80" s="1">
        <f t="shared" si="5"/>
        <v>3.7500000000000089E-2</v>
      </c>
      <c r="J80">
        <v>31.000000000000004</v>
      </c>
      <c r="M80">
        <v>104</v>
      </c>
      <c r="P80">
        <v>37.000000000000028</v>
      </c>
      <c r="S80">
        <v>23.999999999999993</v>
      </c>
    </row>
    <row r="81" spans="1:19">
      <c r="A81" s="1">
        <v>0.3527777777777778</v>
      </c>
      <c r="B81" s="1">
        <f t="shared" si="6"/>
        <v>7.6388888888888618E-3</v>
      </c>
      <c r="G81" s="1">
        <v>0.54791666666666672</v>
      </c>
      <c r="H81" s="1">
        <f t="shared" si="5"/>
        <v>1.4583333333333282E-2</v>
      </c>
      <c r="J81">
        <v>14</v>
      </c>
      <c r="M81">
        <v>24.999999999999993</v>
      </c>
      <c r="P81">
        <v>7.000000000000135</v>
      </c>
      <c r="S81">
        <v>5.9999999999999982</v>
      </c>
    </row>
    <row r="82" spans="1:19">
      <c r="A82" s="1">
        <v>0.36041666666666666</v>
      </c>
      <c r="B82" s="1">
        <f t="shared" si="6"/>
        <v>2.0833333333333259E-3</v>
      </c>
      <c r="G82" s="1">
        <v>0.5625</v>
      </c>
      <c r="H82" s="1">
        <f t="shared" si="5"/>
        <v>4.166666666666663E-2</v>
      </c>
      <c r="J82">
        <v>7.9999999999999911</v>
      </c>
      <c r="M82">
        <v>48.999999999999986</v>
      </c>
      <c r="P82">
        <v>103.99999999999997</v>
      </c>
      <c r="S82">
        <v>25.999999999999986</v>
      </c>
    </row>
    <row r="83" spans="1:19">
      <c r="A83" s="1">
        <v>0.36249999999999999</v>
      </c>
      <c r="B83" s="1">
        <f t="shared" si="6"/>
        <v>7.8472222222222276E-2</v>
      </c>
      <c r="G83" s="1">
        <v>0.60416666666666663</v>
      </c>
      <c r="H83" s="1">
        <f t="shared" si="5"/>
        <v>1.388888888888884E-3</v>
      </c>
      <c r="J83">
        <v>25</v>
      </c>
      <c r="M83">
        <v>32</v>
      </c>
      <c r="P83">
        <v>1</v>
      </c>
      <c r="S83">
        <v>12.000000000000016</v>
      </c>
    </row>
    <row r="84" spans="1:19">
      <c r="A84" s="1">
        <v>0.44097222222222227</v>
      </c>
      <c r="B84" s="1">
        <f t="shared" si="6"/>
        <v>1.041666666666663E-2</v>
      </c>
      <c r="G84" s="1">
        <v>0.60555555555555551</v>
      </c>
      <c r="H84" s="1">
        <f t="shared" si="5"/>
        <v>9.3750000000000111E-2</v>
      </c>
      <c r="J84">
        <v>13.000000000000014</v>
      </c>
      <c r="M84">
        <v>64</v>
      </c>
      <c r="P84">
        <v>31.000000000000004</v>
      </c>
      <c r="S84">
        <v>104</v>
      </c>
    </row>
    <row r="85" spans="1:19">
      <c r="A85" s="1">
        <v>0.4513888888888889</v>
      </c>
      <c r="B85" s="1">
        <f t="shared" si="6"/>
        <v>2.0138888888888873E-2</v>
      </c>
      <c r="G85" s="1">
        <v>0.69930555555555562</v>
      </c>
      <c r="H85" s="1">
        <f t="shared" si="5"/>
        <v>4.513888888888884E-2</v>
      </c>
      <c r="J85">
        <v>17</v>
      </c>
      <c r="M85">
        <v>7.9999999999999716</v>
      </c>
      <c r="P85">
        <v>14</v>
      </c>
      <c r="S85">
        <v>24.999999999999993</v>
      </c>
    </row>
    <row r="86" spans="1:19">
      <c r="A86" s="1">
        <v>0.47152777777777777</v>
      </c>
      <c r="B86" s="1">
        <f t="shared" si="6"/>
        <v>8.3333333333333592E-3</v>
      </c>
      <c r="G86" s="1">
        <v>0.74444444444444446</v>
      </c>
      <c r="H86" s="1">
        <f t="shared" si="5"/>
        <v>2.0138888888888928E-2</v>
      </c>
      <c r="J86">
        <v>4.9999999999999822</v>
      </c>
      <c r="M86">
        <v>5.0000000000000622</v>
      </c>
      <c r="P86">
        <v>7.9999999999999911</v>
      </c>
      <c r="S86">
        <v>48.999999999999986</v>
      </c>
    </row>
    <row r="87" spans="1:19">
      <c r="A87" s="1">
        <v>0.47986111111111113</v>
      </c>
      <c r="B87" s="1">
        <f t="shared" si="6"/>
        <v>2.7083333333333293E-2</v>
      </c>
      <c r="G87" s="1">
        <v>0.76458333333333339</v>
      </c>
      <c r="H87" s="1">
        <f t="shared" si="5"/>
        <v>4.0972222222222077E-2</v>
      </c>
      <c r="J87">
        <v>25.000000000000011</v>
      </c>
      <c r="M87">
        <v>86.000000000000014</v>
      </c>
      <c r="P87">
        <v>25</v>
      </c>
      <c r="S87">
        <v>32</v>
      </c>
    </row>
    <row r="88" spans="1:19">
      <c r="A88" s="1">
        <v>0.50694444444444442</v>
      </c>
      <c r="B88" s="1">
        <f t="shared" si="6"/>
        <v>2.2916666666666696E-2</v>
      </c>
      <c r="G88" s="1">
        <v>0.80555555555555547</v>
      </c>
      <c r="H88" s="1">
        <f t="shared" si="5"/>
        <v>4.5833333333333393E-2</v>
      </c>
      <c r="J88">
        <v>8.0000000000000107</v>
      </c>
      <c r="M88">
        <v>4.9999999999999023</v>
      </c>
      <c r="P88">
        <v>13.000000000000014</v>
      </c>
      <c r="S88">
        <v>64</v>
      </c>
    </row>
    <row r="89" spans="1:19">
      <c r="A89" s="1">
        <v>0.52986111111111112</v>
      </c>
      <c r="B89" s="1">
        <f t="shared" si="6"/>
        <v>2.5694444444444464E-2</v>
      </c>
      <c r="G89" s="1">
        <v>0.85138888888888886</v>
      </c>
      <c r="H89" s="1">
        <f t="shared" si="5"/>
        <v>7.6388888888889728E-3</v>
      </c>
      <c r="J89">
        <v>100.00000000000001</v>
      </c>
      <c r="M89">
        <v>1.9999999999999929</v>
      </c>
      <c r="P89">
        <v>17</v>
      </c>
      <c r="S89">
        <v>7.9999999999999716</v>
      </c>
    </row>
    <row r="90" spans="1:19">
      <c r="A90" s="1">
        <v>0.55555555555555558</v>
      </c>
      <c r="B90" s="1">
        <f t="shared" si="6"/>
        <v>4.166666666666663E-2</v>
      </c>
      <c r="G90" s="1">
        <v>0.85902777777777783</v>
      </c>
      <c r="H90" s="1">
        <f t="shared" si="5"/>
        <v>6.1111111111111005E-2</v>
      </c>
      <c r="J90">
        <v>25.999999999999947</v>
      </c>
      <c r="M90">
        <v>108.00000000000009</v>
      </c>
      <c r="P90">
        <v>4.9999999999999822</v>
      </c>
      <c r="S90">
        <v>5.0000000000000622</v>
      </c>
    </row>
    <row r="91" spans="1:19">
      <c r="A91" s="1">
        <v>0.59722222222222221</v>
      </c>
      <c r="B91" s="1">
        <f t="shared" si="6"/>
        <v>5.5555555555555358E-3</v>
      </c>
      <c r="G91" s="1">
        <v>0.92013888888888884</v>
      </c>
      <c r="H91" s="1">
        <f t="shared" si="5"/>
        <v>1.2500000000000067E-2</v>
      </c>
      <c r="J91">
        <v>46</v>
      </c>
      <c r="M91">
        <v>10.999999999999961</v>
      </c>
      <c r="P91">
        <v>25.000000000000011</v>
      </c>
      <c r="S91">
        <v>86.000000000000014</v>
      </c>
    </row>
    <row r="92" spans="1:19">
      <c r="A92" s="1">
        <v>0.60277777777777775</v>
      </c>
      <c r="B92" s="1">
        <f t="shared" si="6"/>
        <v>7.5694444444444509E-2</v>
      </c>
      <c r="G92" s="1">
        <v>0.93263888888888891</v>
      </c>
      <c r="H92" s="1">
        <f t="shared" si="5"/>
        <v>1.3194444444444398E-2</v>
      </c>
      <c r="J92">
        <v>17.999999999999975</v>
      </c>
      <c r="M92">
        <v>28.999999999999979</v>
      </c>
      <c r="P92">
        <v>8.0000000000000107</v>
      </c>
      <c r="S92">
        <v>4.9999999999999023</v>
      </c>
    </row>
    <row r="93" spans="1:19">
      <c r="A93" s="1">
        <v>0.67847222222222225</v>
      </c>
      <c r="B93" s="1">
        <f t="shared" si="6"/>
        <v>1.8055555555555491E-2</v>
      </c>
      <c r="G93" s="1">
        <v>0.9458333333333333</v>
      </c>
      <c r="H93" s="1">
        <f t="shared" si="5"/>
        <v>1.041666666666663E-2</v>
      </c>
      <c r="J93">
        <v>21.000000000000046</v>
      </c>
      <c r="M93">
        <v>14.00000000000003</v>
      </c>
      <c r="P93">
        <v>100.00000000000001</v>
      </c>
      <c r="S93">
        <v>1.9999999999999929</v>
      </c>
    </row>
    <row r="94" spans="1:19">
      <c r="A94" s="1">
        <v>0.69652777777777775</v>
      </c>
      <c r="B94" s="1">
        <f t="shared" si="6"/>
        <v>3.6805555555555647E-2</v>
      </c>
      <c r="G94" s="1">
        <v>0.95624999999999993</v>
      </c>
      <c r="H94" s="1">
        <f t="shared" si="5"/>
        <v>3.3333333333333437E-2</v>
      </c>
      <c r="J94">
        <v>64.000000000000014</v>
      </c>
      <c r="M94">
        <v>35.99999999999995</v>
      </c>
      <c r="P94">
        <v>25.999999999999947</v>
      </c>
      <c r="S94">
        <v>108.00000000000009</v>
      </c>
    </row>
    <row r="95" spans="1:19">
      <c r="A95" s="1">
        <v>0.73333333333333339</v>
      </c>
      <c r="B95" s="1">
        <f t="shared" si="6"/>
        <v>2.1527777777777701E-2</v>
      </c>
      <c r="G95" s="1">
        <v>0.98958333333333337</v>
      </c>
      <c r="H95" s="1">
        <f t="shared" si="5"/>
        <v>1.6666666666666496E-2</v>
      </c>
      <c r="J95">
        <v>85.000000000000014</v>
      </c>
      <c r="M95">
        <v>54.000000000000128</v>
      </c>
      <c r="P95">
        <v>46</v>
      </c>
      <c r="S95">
        <v>10.999999999999961</v>
      </c>
    </row>
    <row r="96" spans="1:19">
      <c r="A96" s="1">
        <v>0.75486111111111109</v>
      </c>
      <c r="B96" s="1">
        <f t="shared" si="6"/>
        <v>4.513888888888884E-2</v>
      </c>
      <c r="G96" s="2">
        <v>1.0062499999999999</v>
      </c>
      <c r="H96" s="1">
        <f t="shared" si="5"/>
        <v>0.1215277777777779</v>
      </c>
      <c r="J96">
        <v>10.999999999999961</v>
      </c>
      <c r="M96">
        <v>20.999999999999925</v>
      </c>
      <c r="P96">
        <v>17.999999999999975</v>
      </c>
      <c r="S96">
        <v>28.999999999999979</v>
      </c>
    </row>
    <row r="97" spans="1:19">
      <c r="A97" s="1">
        <v>0.79999999999999993</v>
      </c>
      <c r="B97" s="1">
        <f t="shared" si="6"/>
        <v>4.6527777777777835E-2</v>
      </c>
      <c r="G97" s="2">
        <v>1.1277777777777778</v>
      </c>
      <c r="H97" s="1">
        <f t="shared" si="5"/>
        <v>3.8888888888888973E-2</v>
      </c>
      <c r="J97">
        <v>2.9999999999999893</v>
      </c>
      <c r="M97">
        <v>59.999999999999943</v>
      </c>
      <c r="P97">
        <v>21.000000000000046</v>
      </c>
      <c r="S97">
        <v>14.00000000000003</v>
      </c>
    </row>
    <row r="98" spans="1:19">
      <c r="A98" s="1">
        <v>0.84652777777777777</v>
      </c>
      <c r="B98" s="1">
        <f t="shared" si="6"/>
        <v>8.3333333333333037E-3</v>
      </c>
      <c r="G98" s="2">
        <v>1.1666666666666667</v>
      </c>
      <c r="H98" s="1">
        <f t="shared" si="5"/>
        <v>7.6388888888887507E-3</v>
      </c>
      <c r="J98">
        <v>113.00000000000009</v>
      </c>
      <c r="M98">
        <v>1.9999999999999929</v>
      </c>
      <c r="P98">
        <v>64.000000000000014</v>
      </c>
      <c r="S98">
        <v>35.99999999999995</v>
      </c>
    </row>
    <row r="99" spans="1:19">
      <c r="A99" s="1">
        <v>0.85486111111111107</v>
      </c>
      <c r="B99" s="1">
        <f t="shared" si="6"/>
        <v>3.8194444444444531E-2</v>
      </c>
      <c r="G99" s="2">
        <v>1.1743055555555555</v>
      </c>
      <c r="H99" s="1">
        <f t="shared" si="5"/>
        <v>9.7222222222224097E-3</v>
      </c>
      <c r="J99">
        <v>14.999999999999947</v>
      </c>
      <c r="M99">
        <v>135.00000000000017</v>
      </c>
      <c r="P99">
        <v>85.000000000000014</v>
      </c>
      <c r="S99">
        <v>54.000000000000128</v>
      </c>
    </row>
    <row r="100" spans="1:19">
      <c r="A100" s="1">
        <v>0.8930555555555556</v>
      </c>
      <c r="B100" s="1">
        <f t="shared" si="6"/>
        <v>2.0138888888888928E-2</v>
      </c>
      <c r="G100" s="2">
        <v>1.1840277777777779</v>
      </c>
      <c r="H100" s="1"/>
      <c r="J100">
        <v>28.999999999999979</v>
      </c>
      <c r="M100">
        <v>64.999999999999929</v>
      </c>
      <c r="P100">
        <v>10.999999999999961</v>
      </c>
      <c r="S100">
        <v>20.999999999999925</v>
      </c>
    </row>
    <row r="101" spans="1:19">
      <c r="A101" s="1">
        <v>0.91319444444444453</v>
      </c>
      <c r="B101" s="1">
        <f t="shared" si="6"/>
        <v>1.5972222222222165E-2</v>
      </c>
      <c r="J101">
        <v>12.000000000000037</v>
      </c>
      <c r="M101">
        <v>29.000000000000057</v>
      </c>
      <c r="P101">
        <v>2.9999999999999893</v>
      </c>
      <c r="S101">
        <v>59.999999999999943</v>
      </c>
    </row>
    <row r="102" spans="1:19">
      <c r="A102" s="1">
        <v>0.9291666666666667</v>
      </c>
      <c r="B102" s="1">
        <f t="shared" si="6"/>
        <v>1.1111111111111072E-2</v>
      </c>
      <c r="J102">
        <v>38.999999999999943</v>
      </c>
      <c r="M102">
        <v>58.999999999999787</v>
      </c>
      <c r="P102">
        <v>113.00000000000009</v>
      </c>
      <c r="S102">
        <v>1.9999999999999929</v>
      </c>
    </row>
    <row r="103" spans="1:19">
      <c r="A103" s="1">
        <v>0.94027777777777777</v>
      </c>
      <c r="B103" s="1">
        <f t="shared" si="6"/>
        <v>7.6388888888888618E-3</v>
      </c>
      <c r="J103">
        <v>33.000000000000043</v>
      </c>
      <c r="M103">
        <v>66.000000000000085</v>
      </c>
      <c r="P103">
        <v>14.999999999999947</v>
      </c>
      <c r="S103">
        <v>135.00000000000017</v>
      </c>
    </row>
    <row r="104" spans="1:19">
      <c r="A104" s="1">
        <v>0.94791666666666663</v>
      </c>
      <c r="B104" s="1">
        <f t="shared" si="6"/>
        <v>2.7083333333333348E-2</v>
      </c>
      <c r="J104">
        <v>37.000000000000028</v>
      </c>
      <c r="M104">
        <v>11.000000000000121</v>
      </c>
      <c r="P104">
        <v>28.999999999999979</v>
      </c>
      <c r="S104">
        <v>64.999999999999929</v>
      </c>
    </row>
    <row r="105" spans="1:19">
      <c r="A105" s="1">
        <v>0.97499999999999998</v>
      </c>
      <c r="B105" s="1">
        <f t="shared" si="6"/>
        <v>2.5000000000000022E-2</v>
      </c>
      <c r="J105">
        <v>59.999999999999943</v>
      </c>
      <c r="M105">
        <v>87.999999999999844</v>
      </c>
      <c r="P105">
        <v>12.000000000000037</v>
      </c>
      <c r="S105">
        <v>29.000000000000057</v>
      </c>
    </row>
    <row r="106" spans="1:19">
      <c r="A106" s="2">
        <v>1</v>
      </c>
      <c r="B106" s="1">
        <f t="shared" si="6"/>
        <v>8.4722222222222365E-2</v>
      </c>
      <c r="J106">
        <v>7.9999999999999716</v>
      </c>
      <c r="M106">
        <v>18.000000000000096</v>
      </c>
      <c r="P106">
        <v>38.999999999999943</v>
      </c>
      <c r="S106">
        <v>58.999999999999787</v>
      </c>
    </row>
    <row r="107" spans="1:19">
      <c r="A107" s="2">
        <v>1.0847222222222224</v>
      </c>
      <c r="B107" s="1">
        <f t="shared" si="6"/>
        <v>3.4027777777777768E-2</v>
      </c>
      <c r="J107">
        <v>109.00000000000009</v>
      </c>
      <c r="M107">
        <v>18.999999999999932</v>
      </c>
      <c r="P107">
        <v>33.000000000000043</v>
      </c>
      <c r="S107">
        <v>66.000000000000085</v>
      </c>
    </row>
    <row r="108" spans="1:19">
      <c r="A108" s="2">
        <v>1.1187500000000001</v>
      </c>
      <c r="B108" s="1">
        <f t="shared" si="6"/>
        <v>4.1666666666666519E-2</v>
      </c>
      <c r="J108">
        <v>25.999999999999908</v>
      </c>
      <c r="M108">
        <v>14.999999999999947</v>
      </c>
      <c r="P108">
        <v>37.000000000000028</v>
      </c>
      <c r="S108">
        <v>11.000000000000121</v>
      </c>
    </row>
    <row r="109" spans="1:19">
      <c r="A109" s="2">
        <v>1.1604166666666667</v>
      </c>
      <c r="B109" s="1">
        <f t="shared" si="6"/>
        <v>6.2500000000000888E-3</v>
      </c>
      <c r="J109">
        <v>53.000000000000128</v>
      </c>
      <c r="M109">
        <v>48.000000000000149</v>
      </c>
      <c r="P109">
        <v>59.999999999999943</v>
      </c>
      <c r="S109">
        <v>87.999999999999844</v>
      </c>
    </row>
    <row r="110" spans="1:19">
      <c r="A110" s="2">
        <v>1.1666666666666667</v>
      </c>
      <c r="B110" s="1">
        <f t="shared" si="6"/>
        <v>1.2499999999999956E-2</v>
      </c>
      <c r="J110">
        <v>30.99999999999989</v>
      </c>
      <c r="M110">
        <v>23.999999999999755</v>
      </c>
      <c r="P110">
        <v>7.9999999999999716</v>
      </c>
      <c r="S110">
        <v>18.000000000000096</v>
      </c>
    </row>
    <row r="111" spans="1:19">
      <c r="A111" s="2">
        <v>1.1791666666666667</v>
      </c>
      <c r="B111" s="1"/>
      <c r="J111">
        <v>64.999999999999929</v>
      </c>
      <c r="M111">
        <v>175.00000000000017</v>
      </c>
      <c r="P111">
        <v>109.00000000000009</v>
      </c>
      <c r="S111">
        <v>18.999999999999932</v>
      </c>
    </row>
    <row r="112" spans="1:19">
      <c r="J112">
        <v>67.000000000000085</v>
      </c>
      <c r="M112">
        <v>56.000000000000121</v>
      </c>
      <c r="P112">
        <v>25.999999999999908</v>
      </c>
      <c r="S112">
        <v>14.999999999999947</v>
      </c>
    </row>
    <row r="113" spans="10:19">
      <c r="J113">
        <v>11.999999999999957</v>
      </c>
      <c r="M113">
        <v>10.999999999999801</v>
      </c>
      <c r="P113">
        <v>53.000000000000128</v>
      </c>
      <c r="S113">
        <v>48.000000000000149</v>
      </c>
    </row>
    <row r="114" spans="10:19">
      <c r="J114">
        <v>55.000000000000128</v>
      </c>
      <c r="M114">
        <v>14.00000000000027</v>
      </c>
      <c r="P114">
        <v>30.99999999999989</v>
      </c>
      <c r="S114">
        <v>23.999999999999755</v>
      </c>
    </row>
    <row r="115" spans="10:19">
      <c r="J115">
        <v>29.000000000000057</v>
      </c>
      <c r="P115">
        <v>64.999999999999929</v>
      </c>
      <c r="S115">
        <v>175.00000000000017</v>
      </c>
    </row>
    <row r="116" spans="10:19">
      <c r="J116">
        <v>22.999999999999918</v>
      </c>
      <c r="P116">
        <v>67.000000000000085</v>
      </c>
      <c r="S116">
        <v>56.000000000000121</v>
      </c>
    </row>
    <row r="117" spans="10:19">
      <c r="J117">
        <v>15.999999999999943</v>
      </c>
      <c r="P117">
        <v>11.999999999999957</v>
      </c>
      <c r="S117">
        <v>10.999999999999801</v>
      </c>
    </row>
    <row r="118" spans="10:19">
      <c r="J118">
        <v>10.999999999999961</v>
      </c>
      <c r="P118">
        <v>55.000000000000128</v>
      </c>
      <c r="S118">
        <v>14.00000000000027</v>
      </c>
    </row>
    <row r="119" spans="10:19">
      <c r="J119">
        <v>39.000000000000021</v>
      </c>
      <c r="P119">
        <v>29.000000000000057</v>
      </c>
    </row>
    <row r="120" spans="10:19">
      <c r="J120">
        <v>36.000000000000028</v>
      </c>
      <c r="P120">
        <v>22.999999999999918</v>
      </c>
    </row>
    <row r="121" spans="10:19">
      <c r="J121">
        <v>122.0000000000002</v>
      </c>
      <c r="P121">
        <v>15.999999999999943</v>
      </c>
    </row>
    <row r="122" spans="10:19">
      <c r="J122">
        <v>48.999999999999986</v>
      </c>
      <c r="P122">
        <v>10.999999999999961</v>
      </c>
    </row>
    <row r="123" spans="10:19">
      <c r="J123">
        <v>59.999999999999787</v>
      </c>
      <c r="P123">
        <v>39.000000000000021</v>
      </c>
    </row>
    <row r="124" spans="10:19">
      <c r="J124">
        <v>9.0000000000001279</v>
      </c>
      <c r="P124">
        <v>36.000000000000028</v>
      </c>
    </row>
    <row r="125" spans="10:19">
      <c r="J125">
        <v>17.999999999999936</v>
      </c>
      <c r="P125">
        <v>122.0000000000002</v>
      </c>
    </row>
    <row r="126" spans="10:19">
      <c r="P126">
        <v>48.999999999999986</v>
      </c>
    </row>
    <row r="127" spans="10:19">
      <c r="P127">
        <v>59.999999999999787</v>
      </c>
    </row>
    <row r="128" spans="10:19">
      <c r="P128">
        <v>9.0000000000001279</v>
      </c>
    </row>
    <row r="129" spans="16:16">
      <c r="P129">
        <v>17.999999999999936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V140"/>
  <sheetViews>
    <sheetView workbookViewId="0">
      <selection activeCell="C1" sqref="C1"/>
    </sheetView>
  </sheetViews>
  <sheetFormatPr defaultRowHeight="15"/>
  <cols>
    <col min="3" max="3" width="10.5703125" customWidth="1"/>
    <col min="6" max="6" width="14.140625" customWidth="1"/>
    <col min="7" max="7" width="14" customWidth="1"/>
    <col min="13" max="13" width="24.5703125" customWidth="1"/>
    <col min="14" max="14" width="18.28515625" customWidth="1"/>
    <col min="16" max="16" width="11.5703125" customWidth="1"/>
  </cols>
  <sheetData>
    <row r="1" spans="1:22">
      <c r="A1" t="s">
        <v>118</v>
      </c>
    </row>
    <row r="2" spans="1:22">
      <c r="A2" t="s">
        <v>119</v>
      </c>
      <c r="B2">
        <v>94</v>
      </c>
      <c r="L2" s="7" t="s">
        <v>88</v>
      </c>
      <c r="M2" s="8"/>
      <c r="N2" s="8" t="s">
        <v>6</v>
      </c>
      <c r="O2" s="8" t="s">
        <v>19</v>
      </c>
      <c r="P2" s="8" t="s">
        <v>24</v>
      </c>
      <c r="Q2" s="8"/>
      <c r="R2" s="8" t="s">
        <v>89</v>
      </c>
      <c r="S2" s="8"/>
      <c r="T2" s="8"/>
    </row>
    <row r="3" spans="1:22">
      <c r="A3" t="s">
        <v>120</v>
      </c>
      <c r="B3">
        <v>89</v>
      </c>
      <c r="L3" s="7" t="s">
        <v>149</v>
      </c>
      <c r="M3" s="8"/>
      <c r="N3" s="8">
        <v>7</v>
      </c>
      <c r="O3" s="8">
        <v>138</v>
      </c>
      <c r="P3" s="8">
        <f>O3+N3</f>
        <v>145</v>
      </c>
      <c r="Q3" s="8"/>
      <c r="R3" s="8"/>
      <c r="S3" s="8">
        <v>18</v>
      </c>
      <c r="T3" s="8"/>
    </row>
    <row r="4" spans="1:22">
      <c r="M4" s="8" t="s">
        <v>236</v>
      </c>
      <c r="N4" s="8" t="s">
        <v>235</v>
      </c>
      <c r="O4" s="8"/>
      <c r="P4" s="8"/>
      <c r="Q4" s="8"/>
      <c r="R4" s="8"/>
      <c r="S4" s="8" t="s">
        <v>90</v>
      </c>
      <c r="T4" s="8">
        <f>S3/P3</f>
        <v>0.12413793103448276</v>
      </c>
    </row>
    <row r="5" spans="1:22">
      <c r="A5" t="s">
        <v>121</v>
      </c>
      <c r="B5" t="s">
        <v>212</v>
      </c>
      <c r="C5" t="s">
        <v>122</v>
      </c>
      <c r="D5" t="s">
        <v>123</v>
      </c>
      <c r="E5" t="s">
        <v>124</v>
      </c>
      <c r="F5" t="s">
        <v>22</v>
      </c>
      <c r="G5" t="s">
        <v>126</v>
      </c>
      <c r="H5" t="s">
        <v>125</v>
      </c>
      <c r="J5" t="s">
        <v>127</v>
      </c>
      <c r="M5" s="8"/>
      <c r="N5" s="8" t="s">
        <v>237</v>
      </c>
      <c r="O5" s="8"/>
      <c r="P5" s="8"/>
      <c r="Q5" s="8"/>
      <c r="R5" s="8"/>
      <c r="S5" s="8"/>
      <c r="T5" s="8"/>
    </row>
    <row r="6" spans="1:22">
      <c r="A6" s="1">
        <v>1.0416666666666666E-2</v>
      </c>
      <c r="B6" s="1"/>
      <c r="C6" s="1">
        <f>A7-A6</f>
        <v>9.0277777777777787E-3</v>
      </c>
      <c r="D6" s="1">
        <v>0.58333333333333337</v>
      </c>
      <c r="E6" s="1">
        <f>D7-D6</f>
        <v>0.11319444444444438</v>
      </c>
      <c r="F6" s="1">
        <v>0.31458333333333333</v>
      </c>
      <c r="G6" s="1">
        <f>F7-F6</f>
        <v>0.10138888888888886</v>
      </c>
      <c r="H6" s="1">
        <v>1.6666666666666666E-2</v>
      </c>
      <c r="J6" s="1">
        <f>H7-H6</f>
        <v>9.7222222222222224E-3</v>
      </c>
      <c r="M6" s="8"/>
      <c r="N6" s="8" t="s">
        <v>20</v>
      </c>
      <c r="O6" s="8" t="s">
        <v>21</v>
      </c>
      <c r="P6" s="8" t="s">
        <v>22</v>
      </c>
      <c r="Q6" s="8" t="s">
        <v>23</v>
      </c>
      <c r="R6" s="8"/>
      <c r="S6" s="8"/>
      <c r="T6" s="8"/>
      <c r="U6" s="8" t="s">
        <v>99</v>
      </c>
      <c r="V6" s="8"/>
    </row>
    <row r="7" spans="1:22">
      <c r="A7" s="1">
        <v>1.9444444444444445E-2</v>
      </c>
      <c r="C7" s="1">
        <f t="shared" ref="C7:C71" si="0">A8-A7</f>
        <v>1.111111111111111E-2</v>
      </c>
      <c r="D7" s="1">
        <v>0.69652777777777775</v>
      </c>
      <c r="E7" s="1">
        <f>D8-D7</f>
        <v>9.7222222222221877E-3</v>
      </c>
      <c r="F7" s="1">
        <v>0.41597222222222219</v>
      </c>
      <c r="G7" s="1">
        <f>F8-F7</f>
        <v>0.29652777777777783</v>
      </c>
      <c r="H7" s="1">
        <v>2.6388888888888889E-2</v>
      </c>
      <c r="J7" s="1">
        <f t="shared" ref="J7:J31" si="1">H8-H7</f>
        <v>7.638888888888886E-3</v>
      </c>
      <c r="M7" s="8" t="s">
        <v>31</v>
      </c>
      <c r="N7" s="8">
        <v>120</v>
      </c>
      <c r="O7" s="8">
        <v>7</v>
      </c>
      <c r="P7" s="8">
        <v>5</v>
      </c>
      <c r="Q7" s="8">
        <v>54</v>
      </c>
      <c r="R7" s="8"/>
      <c r="S7" s="8"/>
      <c r="T7" s="8"/>
      <c r="U7" s="8" t="s">
        <v>13</v>
      </c>
      <c r="V7" s="8">
        <v>94</v>
      </c>
    </row>
    <row r="8" spans="1:22">
      <c r="A8" s="1">
        <v>3.0555555555555555E-2</v>
      </c>
      <c r="C8" s="1">
        <f t="shared" si="0"/>
        <v>5.5555555555555601E-3</v>
      </c>
      <c r="D8" s="1">
        <v>0.70624999999999993</v>
      </c>
      <c r="E8" s="1">
        <f>D9-D8</f>
        <v>4.5833333333333393E-2</v>
      </c>
      <c r="F8" s="1">
        <v>0.71250000000000002</v>
      </c>
      <c r="G8" s="1">
        <f>F9-F8</f>
        <v>7.1527777777777746E-2</v>
      </c>
      <c r="H8" s="1">
        <v>3.4027777777777775E-2</v>
      </c>
      <c r="J8" s="1">
        <f t="shared" si="1"/>
        <v>5.5555555555555566E-3</v>
      </c>
      <c r="M8" s="8" t="s">
        <v>65</v>
      </c>
      <c r="N8" s="8" t="s">
        <v>147</v>
      </c>
      <c r="O8" s="8" t="s">
        <v>146</v>
      </c>
      <c r="P8" s="8" t="s">
        <v>218</v>
      </c>
      <c r="Q8" s="8" t="s">
        <v>148</v>
      </c>
      <c r="R8" s="8"/>
      <c r="S8" s="8"/>
      <c r="T8" s="8"/>
      <c r="U8" s="8" t="s">
        <v>14</v>
      </c>
      <c r="V8" s="8">
        <v>89</v>
      </c>
    </row>
    <row r="9" spans="1:22">
      <c r="A9" s="1">
        <v>3.6111111111111115E-2</v>
      </c>
      <c r="C9" s="1">
        <f t="shared" si="0"/>
        <v>2.0833333333333259E-3</v>
      </c>
      <c r="D9" s="1">
        <v>0.75208333333333333</v>
      </c>
      <c r="E9" s="4"/>
      <c r="F9" s="1">
        <v>0.78402777777777777</v>
      </c>
      <c r="G9" s="4"/>
      <c r="H9" s="1">
        <v>3.9583333333333331E-2</v>
      </c>
      <c r="J9" s="1">
        <f t="shared" si="1"/>
        <v>6.9444444444444892E-4</v>
      </c>
    </row>
    <row r="10" spans="1:22">
      <c r="A10" s="1">
        <v>3.8194444444444441E-2</v>
      </c>
      <c r="C10" s="1">
        <f t="shared" si="0"/>
        <v>2.2222222222222227E-2</v>
      </c>
      <c r="D10" s="4"/>
      <c r="F10" s="4"/>
      <c r="H10" s="1">
        <v>4.027777777777778E-2</v>
      </c>
      <c r="J10" s="1">
        <f t="shared" si="1"/>
        <v>2.0833333333333336E-2</v>
      </c>
    </row>
    <row r="11" spans="1:22">
      <c r="A11" s="1">
        <v>6.0416666666666667E-2</v>
      </c>
      <c r="C11" s="1">
        <f t="shared" si="0"/>
        <v>6.9444444444444892E-4</v>
      </c>
      <c r="D11" s="1">
        <v>6.7361111111111108E-2</v>
      </c>
      <c r="E11" s="1">
        <f>D11</f>
        <v>6.7361111111111108E-2</v>
      </c>
      <c r="F11" s="1">
        <v>8.8888888888888892E-2</v>
      </c>
      <c r="G11" s="1">
        <v>8.8888888888888892E-2</v>
      </c>
      <c r="H11" s="1">
        <v>6.1111111111111116E-2</v>
      </c>
      <c r="J11" s="1">
        <f t="shared" si="1"/>
        <v>6.9444444444444198E-4</v>
      </c>
      <c r="M11" t="s">
        <v>143</v>
      </c>
      <c r="N11" t="s">
        <v>144</v>
      </c>
    </row>
    <row r="12" spans="1:22">
      <c r="A12" s="1">
        <v>6.1111111111111116E-2</v>
      </c>
      <c r="C12" s="1">
        <f t="shared" si="0"/>
        <v>6.9444444444444198E-4</v>
      </c>
      <c r="D12" s="1">
        <v>0.23263888888888887</v>
      </c>
      <c r="E12" s="1">
        <f>D12-D11</f>
        <v>0.16527777777777775</v>
      </c>
      <c r="H12" s="1">
        <v>6.1805555555555558E-2</v>
      </c>
      <c r="J12" s="1">
        <f t="shared" si="1"/>
        <v>6.9444444444444198E-4</v>
      </c>
      <c r="L12" t="s">
        <v>141</v>
      </c>
      <c r="M12">
        <v>103</v>
      </c>
      <c r="N12">
        <f>90-6</f>
        <v>84</v>
      </c>
    </row>
    <row r="13" spans="1:22">
      <c r="A13" s="1">
        <v>6.1805555555555558E-2</v>
      </c>
      <c r="C13" s="1">
        <f t="shared" si="0"/>
        <v>1.7361111111111105E-2</v>
      </c>
      <c r="D13" s="1">
        <v>0.31805555555555554</v>
      </c>
      <c r="E13" s="1">
        <f>D13-D12</f>
        <v>8.5416666666666669E-2</v>
      </c>
      <c r="H13" s="1">
        <v>6.25E-2</v>
      </c>
      <c r="J13" s="1">
        <f t="shared" si="1"/>
        <v>1.8055555555555561E-2</v>
      </c>
      <c r="L13" t="s">
        <v>142</v>
      </c>
      <c r="M13">
        <v>35</v>
      </c>
      <c r="N13">
        <f>128-92</f>
        <v>36</v>
      </c>
    </row>
    <row r="14" spans="1:22">
      <c r="A14" s="1">
        <v>7.9166666666666663E-2</v>
      </c>
      <c r="C14" s="1">
        <f t="shared" si="0"/>
        <v>1.3888888888888978E-3</v>
      </c>
      <c r="H14" s="1">
        <v>8.0555555555555561E-2</v>
      </c>
      <c r="J14" s="1">
        <f t="shared" si="1"/>
        <v>2.7777777777777679E-3</v>
      </c>
      <c r="M14">
        <f>M13+M12</f>
        <v>138</v>
      </c>
      <c r="N14">
        <f>N13+N12</f>
        <v>120</v>
      </c>
    </row>
    <row r="15" spans="1:22">
      <c r="A15" s="1">
        <v>8.0555555555555561E-2</v>
      </c>
      <c r="C15" s="1">
        <f t="shared" si="0"/>
        <v>1.8749999999999989E-2</v>
      </c>
      <c r="H15" s="1">
        <v>8.3333333333333329E-2</v>
      </c>
      <c r="J15" s="1">
        <f t="shared" si="1"/>
        <v>1.8055555555555575E-2</v>
      </c>
      <c r="Q15" t="s">
        <v>145</v>
      </c>
    </row>
    <row r="16" spans="1:22">
      <c r="A16" s="1">
        <v>9.930555555555555E-2</v>
      </c>
      <c r="C16" s="1">
        <f t="shared" si="0"/>
        <v>6.9444444444444198E-4</v>
      </c>
      <c r="H16" s="1">
        <v>0.1013888888888889</v>
      </c>
      <c r="J16" s="1">
        <f t="shared" si="1"/>
        <v>1.388888888888884E-3</v>
      </c>
    </row>
    <row r="17" spans="1:18">
      <c r="A17" s="1">
        <v>9.9999999999999992E-2</v>
      </c>
      <c r="C17" s="1">
        <f t="shared" si="0"/>
        <v>6.9444444444444198E-4</v>
      </c>
      <c r="H17" s="1">
        <v>0.10277777777777779</v>
      </c>
      <c r="J17" s="1">
        <f t="shared" si="1"/>
        <v>6.9444444444444198E-4</v>
      </c>
    </row>
    <row r="18" spans="1:18">
      <c r="A18" s="1">
        <v>0.10069444444444443</v>
      </c>
      <c r="C18" s="1">
        <f t="shared" si="0"/>
        <v>6.9444444444446973E-4</v>
      </c>
      <c r="H18" s="1">
        <v>0.10347222222222223</v>
      </c>
      <c r="J18" s="1">
        <f t="shared" si="1"/>
        <v>6.9444444444444198E-4</v>
      </c>
    </row>
    <row r="19" spans="1:18">
      <c r="A19" s="1">
        <v>0.1013888888888889</v>
      </c>
      <c r="C19" s="1">
        <f t="shared" si="0"/>
        <v>6.9444444444444198E-4</v>
      </c>
      <c r="H19" s="1">
        <v>0.10416666666666667</v>
      </c>
      <c r="J19" s="1">
        <f t="shared" si="1"/>
        <v>1.388888888888884E-3</v>
      </c>
    </row>
    <row r="20" spans="1:18">
      <c r="A20" s="1">
        <v>0.10208333333333335</v>
      </c>
      <c r="C20" s="1">
        <f t="shared" si="0"/>
        <v>6.9444444444444198E-4</v>
      </c>
      <c r="H20" s="1">
        <v>0.10555555555555556</v>
      </c>
      <c r="J20" s="1">
        <f t="shared" si="1"/>
        <v>6.9444444444444198E-4</v>
      </c>
      <c r="O20" t="s">
        <v>91</v>
      </c>
      <c r="P20" t="s">
        <v>92</v>
      </c>
      <c r="Q20" t="s">
        <v>93</v>
      </c>
      <c r="R20" t="s">
        <v>94</v>
      </c>
    </row>
    <row r="21" spans="1:18">
      <c r="A21" s="1">
        <v>0.10277777777777779</v>
      </c>
      <c r="C21" s="1">
        <f t="shared" si="0"/>
        <v>6.9444444444444198E-4</v>
      </c>
      <c r="H21" s="1">
        <v>0.10625</v>
      </c>
      <c r="J21" s="1">
        <f t="shared" si="1"/>
        <v>1.3888888888888978E-3</v>
      </c>
      <c r="O21">
        <v>13</v>
      </c>
      <c r="P21">
        <v>162.99999999999989</v>
      </c>
      <c r="Q21">
        <v>145.99999999999997</v>
      </c>
      <c r="R21">
        <v>14</v>
      </c>
    </row>
    <row r="22" spans="1:18">
      <c r="A22" s="1">
        <v>0.10347222222222223</v>
      </c>
      <c r="C22" s="1">
        <f t="shared" si="0"/>
        <v>6.9444444444444198E-4</v>
      </c>
      <c r="H22" s="1">
        <v>0.1076388888888889</v>
      </c>
      <c r="J22" s="1">
        <f t="shared" si="1"/>
        <v>6.9444444444444198E-4</v>
      </c>
      <c r="O22">
        <v>15.999999999999996</v>
      </c>
      <c r="P22">
        <v>13.99999999999995</v>
      </c>
      <c r="Q22">
        <v>427.00000000000011</v>
      </c>
      <c r="R22">
        <v>10.999999999999996</v>
      </c>
    </row>
    <row r="23" spans="1:18">
      <c r="A23" s="1">
        <v>0.10416666666666667</v>
      </c>
      <c r="C23" s="1">
        <f t="shared" si="0"/>
        <v>1.9444444444444445E-2</v>
      </c>
      <c r="H23" s="1">
        <v>0.10833333333333334</v>
      </c>
      <c r="J23" s="1">
        <f t="shared" si="1"/>
        <v>1.388888888888884E-3</v>
      </c>
      <c r="O23">
        <v>8.0000000000000071</v>
      </c>
      <c r="P23">
        <v>66.000000000000085</v>
      </c>
      <c r="Q23">
        <v>102.99999999999994</v>
      </c>
      <c r="R23">
        <v>8.0000000000000018</v>
      </c>
    </row>
    <row r="24" spans="1:18">
      <c r="A24" s="1">
        <v>0.12361111111111112</v>
      </c>
      <c r="C24" s="1">
        <f t="shared" si="0"/>
        <v>2.6388888888888878E-2</v>
      </c>
      <c r="H24" s="1">
        <v>0.10972222222222222</v>
      </c>
      <c r="J24" s="1">
        <f t="shared" si="1"/>
        <v>8.8888888888888878E-2</v>
      </c>
      <c r="O24">
        <v>2.9999999999999893</v>
      </c>
      <c r="P24">
        <v>97</v>
      </c>
      <c r="Q24">
        <v>128</v>
      </c>
      <c r="R24">
        <v>1.0000000000000064</v>
      </c>
    </row>
    <row r="25" spans="1:18">
      <c r="A25" s="1">
        <v>0.15</v>
      </c>
      <c r="C25" s="1">
        <f t="shared" si="0"/>
        <v>4.4444444444444453E-2</v>
      </c>
      <c r="H25" s="1">
        <v>0.1986111111111111</v>
      </c>
      <c r="J25" s="1">
        <f t="shared" si="1"/>
        <v>4.8611111111110938E-3</v>
      </c>
      <c r="O25">
        <v>32.000000000000007</v>
      </c>
      <c r="P25">
        <v>237.99999999999994</v>
      </c>
      <c r="R25">
        <v>30</v>
      </c>
    </row>
    <row r="26" spans="1:18">
      <c r="A26" s="1">
        <v>0.19444444444444445</v>
      </c>
      <c r="C26" s="1">
        <f t="shared" si="0"/>
        <v>3.4722222222222099E-3</v>
      </c>
      <c r="H26" s="1">
        <v>0.20347222222222219</v>
      </c>
      <c r="J26" s="1">
        <f t="shared" si="1"/>
        <v>4.8611111111111494E-3</v>
      </c>
      <c r="O26">
        <v>1.0000000000000064</v>
      </c>
      <c r="P26">
        <v>122.99999999999999</v>
      </c>
      <c r="R26">
        <v>0.99999999999999645</v>
      </c>
    </row>
    <row r="27" spans="1:18">
      <c r="A27" s="1">
        <v>0.19791666666666666</v>
      </c>
      <c r="C27" s="1">
        <f t="shared" si="0"/>
        <v>3.4722222222222099E-3</v>
      </c>
      <c r="H27" s="1">
        <v>0.20833333333333334</v>
      </c>
      <c r="J27" s="1">
        <f t="shared" si="1"/>
        <v>4.8611111111110938E-3</v>
      </c>
      <c r="O27">
        <v>0.99999999999999645</v>
      </c>
      <c r="R27">
        <v>0.99999999999999645</v>
      </c>
    </row>
    <row r="28" spans="1:18">
      <c r="A28" s="1">
        <v>0.20138888888888887</v>
      </c>
      <c r="C28" s="1">
        <f t="shared" si="0"/>
        <v>4.1666666666667074E-3</v>
      </c>
      <c r="H28" s="1">
        <v>0.21319444444444444</v>
      </c>
      <c r="J28" s="1">
        <f t="shared" si="1"/>
        <v>4.8611111111111216E-3</v>
      </c>
      <c r="O28">
        <v>24.999999999999993</v>
      </c>
      <c r="R28">
        <v>26.000000000000007</v>
      </c>
    </row>
    <row r="29" spans="1:18">
      <c r="A29" s="1">
        <v>0.20555555555555557</v>
      </c>
      <c r="C29" s="1">
        <f t="shared" si="0"/>
        <v>2.7777777777777679E-3</v>
      </c>
      <c r="H29" s="1">
        <v>0.21805555555555556</v>
      </c>
      <c r="J29" s="1">
        <f t="shared" si="1"/>
        <v>4.8611111111110938E-3</v>
      </c>
      <c r="O29">
        <v>2.0000000000000129</v>
      </c>
      <c r="R29">
        <v>3.9999999999999858</v>
      </c>
    </row>
    <row r="30" spans="1:18">
      <c r="A30" s="1">
        <v>0.20833333333333334</v>
      </c>
      <c r="C30" s="1">
        <f t="shared" si="0"/>
        <v>4.1666666666666519E-3</v>
      </c>
      <c r="H30" s="10">
        <v>0.22291666666666665</v>
      </c>
      <c r="I30" s="11">
        <v>5</v>
      </c>
      <c r="J30" s="1">
        <f t="shared" si="1"/>
        <v>8.3333333333333315E-3</v>
      </c>
      <c r="O30">
        <v>26.999999999999986</v>
      </c>
      <c r="R30">
        <v>26.000000000000028</v>
      </c>
    </row>
    <row r="31" spans="1:18">
      <c r="A31" s="10">
        <v>0.21249999999999999</v>
      </c>
      <c r="B31" s="11">
        <v>5</v>
      </c>
      <c r="C31" s="1">
        <f t="shared" si="0"/>
        <v>9.7222222222222154E-3</v>
      </c>
      <c r="H31" s="1">
        <v>0.23124999999999998</v>
      </c>
      <c r="J31" s="1">
        <f t="shared" si="1"/>
        <v>7.6388888888889173E-3</v>
      </c>
      <c r="O31">
        <v>0.99999999999999645</v>
      </c>
      <c r="R31">
        <v>1.9999999999999929</v>
      </c>
    </row>
    <row r="32" spans="1:18">
      <c r="A32" s="1">
        <v>0.22222222222222221</v>
      </c>
      <c r="C32" s="1">
        <f t="shared" si="0"/>
        <v>9.7222222222222154E-3</v>
      </c>
      <c r="H32" s="10">
        <v>0.2388888888888889</v>
      </c>
      <c r="I32" s="11">
        <v>2</v>
      </c>
      <c r="O32">
        <v>0.99999999999999645</v>
      </c>
      <c r="R32">
        <v>0.99999999999999645</v>
      </c>
    </row>
    <row r="33" spans="1:18">
      <c r="A33" s="10">
        <v>0.23194444444444443</v>
      </c>
      <c r="B33" s="11">
        <v>2</v>
      </c>
      <c r="C33" s="1">
        <f t="shared" si="0"/>
        <v>4.8611111111111494E-3</v>
      </c>
      <c r="H33" s="12"/>
      <c r="O33">
        <v>1.0000000000000364</v>
      </c>
      <c r="R33">
        <v>0.99999999999999645</v>
      </c>
    </row>
    <row r="34" spans="1:18">
      <c r="A34" s="1">
        <v>0.23680555555555557</v>
      </c>
      <c r="C34" s="1">
        <f t="shared" si="0"/>
        <v>4.8611111111110938E-3</v>
      </c>
      <c r="H34" s="1">
        <v>0.35416666666666669</v>
      </c>
      <c r="I34">
        <v>3</v>
      </c>
      <c r="J34" s="1">
        <f>H35-H34</f>
        <v>9.7222222222221877E-3</v>
      </c>
      <c r="O34">
        <v>0.99999999999999645</v>
      </c>
      <c r="R34">
        <v>1.9999999999999929</v>
      </c>
    </row>
    <row r="35" spans="1:18">
      <c r="A35" s="1">
        <v>0.24166666666666667</v>
      </c>
      <c r="C35" s="1">
        <f t="shared" si="0"/>
        <v>4.8611111111111216E-3</v>
      </c>
      <c r="H35" s="1">
        <v>0.36388888888888887</v>
      </c>
      <c r="J35" s="1">
        <f t="shared" ref="J35:J61" si="2">H36-H35</f>
        <v>9.0277777777777457E-3</v>
      </c>
      <c r="O35">
        <v>0.99999999999999645</v>
      </c>
      <c r="R35">
        <v>0.99999999999999645</v>
      </c>
    </row>
    <row r="36" spans="1:18">
      <c r="A36" s="1">
        <v>0.24652777777777779</v>
      </c>
      <c r="C36" s="1">
        <f t="shared" si="0"/>
        <v>4.8611111111110938E-3</v>
      </c>
      <c r="H36" s="1">
        <v>0.37291666666666662</v>
      </c>
      <c r="J36" s="1">
        <f t="shared" si="2"/>
        <v>9.7222222222222987E-3</v>
      </c>
      <c r="O36">
        <v>0.99999999999999645</v>
      </c>
      <c r="R36">
        <v>2.0000000000000129</v>
      </c>
    </row>
    <row r="37" spans="1:18">
      <c r="A37" s="1">
        <v>0.25138888888888888</v>
      </c>
      <c r="C37" s="1">
        <f t="shared" si="0"/>
        <v>5.5555555555555913E-3</v>
      </c>
      <c r="H37" s="10">
        <v>0.38263888888888892</v>
      </c>
      <c r="I37" s="11">
        <v>3</v>
      </c>
      <c r="J37" s="1">
        <f t="shared" si="2"/>
        <v>2.2916666666666585E-2</v>
      </c>
      <c r="O37">
        <v>0.99999999999999645</v>
      </c>
      <c r="R37">
        <v>0.99999999999999645</v>
      </c>
    </row>
    <row r="38" spans="1:18">
      <c r="A38" s="1">
        <v>0.25694444444444448</v>
      </c>
      <c r="C38" s="1">
        <f t="shared" si="0"/>
        <v>4.8611111111110938E-3</v>
      </c>
      <c r="H38" s="1">
        <v>0.4055555555555555</v>
      </c>
      <c r="J38" s="1">
        <f t="shared" si="2"/>
        <v>2.2916666666666696E-2</v>
      </c>
      <c r="O38">
        <v>28</v>
      </c>
      <c r="R38">
        <v>1.9999999999999929</v>
      </c>
    </row>
    <row r="39" spans="1:18">
      <c r="A39" s="1">
        <v>0.26180555555555557</v>
      </c>
      <c r="C39" s="1">
        <f t="shared" si="0"/>
        <v>4.8611111111110938E-3</v>
      </c>
      <c r="H39" s="1">
        <v>0.4284722222222222</v>
      </c>
      <c r="J39" s="1">
        <f t="shared" si="2"/>
        <v>2.2916666666666696E-2</v>
      </c>
      <c r="O39">
        <v>37.999999999999986</v>
      </c>
      <c r="R39">
        <v>127.99999999999997</v>
      </c>
    </row>
    <row r="40" spans="1:18">
      <c r="A40" s="1">
        <v>0.26666666666666666</v>
      </c>
      <c r="C40" s="1">
        <f t="shared" si="0"/>
        <v>4.8611111111110938E-3</v>
      </c>
      <c r="H40" s="10">
        <v>0.4513888888888889</v>
      </c>
      <c r="I40" s="11">
        <v>3</v>
      </c>
      <c r="J40" s="1">
        <f t="shared" si="2"/>
        <v>2.2222222222222254E-2</v>
      </c>
      <c r="O40">
        <v>64.000000000000014</v>
      </c>
      <c r="R40">
        <v>6.9999999999999751</v>
      </c>
    </row>
    <row r="41" spans="1:18">
      <c r="A41" s="1">
        <v>0.27152777777777776</v>
      </c>
      <c r="C41" s="1">
        <f t="shared" si="0"/>
        <v>4.8611111111110938E-3</v>
      </c>
      <c r="H41" s="1">
        <v>0.47361111111111115</v>
      </c>
      <c r="J41" s="1">
        <f t="shared" si="2"/>
        <v>8.3333333333333037E-3</v>
      </c>
      <c r="O41">
        <v>4.9999999999999822</v>
      </c>
      <c r="R41">
        <v>7.0000000000000551</v>
      </c>
    </row>
    <row r="42" spans="1:18">
      <c r="A42" s="1">
        <v>0.27638888888888885</v>
      </c>
      <c r="C42" s="1">
        <f t="shared" si="0"/>
        <v>4.8611111111111494E-3</v>
      </c>
      <c r="H42" s="1">
        <v>0.48194444444444445</v>
      </c>
      <c r="J42" s="1">
        <f t="shared" si="2"/>
        <v>8.3333333333333592E-3</v>
      </c>
      <c r="O42">
        <v>4.9999999999999822</v>
      </c>
      <c r="R42">
        <v>6.9999999999999751</v>
      </c>
    </row>
    <row r="43" spans="1:18">
      <c r="A43" s="10">
        <v>0.28125</v>
      </c>
      <c r="B43" s="11">
        <v>10</v>
      </c>
      <c r="C43" s="1">
        <f t="shared" si="0"/>
        <v>4.1666666666666519E-3</v>
      </c>
      <c r="H43" s="1">
        <v>0.49027777777777781</v>
      </c>
      <c r="J43" s="1">
        <f t="shared" si="2"/>
        <v>8.3333333333333037E-3</v>
      </c>
      <c r="O43">
        <v>6.0000000000000586</v>
      </c>
      <c r="R43">
        <v>7.0000000000000151</v>
      </c>
    </row>
    <row r="44" spans="1:18">
      <c r="A44" s="1">
        <v>0.28541666666666665</v>
      </c>
      <c r="C44" s="1">
        <f t="shared" si="0"/>
        <v>4.8611111111111494E-3</v>
      </c>
      <c r="H44" s="10">
        <v>0.49861111111111112</v>
      </c>
      <c r="I44" s="11">
        <v>3</v>
      </c>
      <c r="J44" s="1">
        <f t="shared" si="2"/>
        <v>1.6666666666666718E-2</v>
      </c>
      <c r="O44">
        <v>3.9999999999999858</v>
      </c>
      <c r="R44">
        <v>6.9999999999999751</v>
      </c>
    </row>
    <row r="45" spans="1:18">
      <c r="A45" s="1">
        <v>0.2902777777777778</v>
      </c>
      <c r="C45" s="1">
        <f t="shared" si="0"/>
        <v>4.1666666666666519E-3</v>
      </c>
      <c r="H45" s="1">
        <v>0.51527777777777783</v>
      </c>
      <c r="J45" s="1">
        <f t="shared" si="2"/>
        <v>1.6666666666666607E-2</v>
      </c>
      <c r="O45">
        <v>5.9999999999999787</v>
      </c>
      <c r="R45">
        <v>11.999999999999996</v>
      </c>
    </row>
    <row r="46" spans="1:18">
      <c r="A46" s="1">
        <v>0.29444444444444445</v>
      </c>
      <c r="C46" s="1">
        <f t="shared" si="0"/>
        <v>4.1666666666666519E-3</v>
      </c>
      <c r="H46" s="1">
        <v>0.53194444444444444</v>
      </c>
      <c r="J46" s="1">
        <f t="shared" si="2"/>
        <v>1.6666666666666607E-2</v>
      </c>
      <c r="O46">
        <v>13.999999999999989</v>
      </c>
      <c r="R46">
        <v>11.000000000000041</v>
      </c>
    </row>
    <row r="47" spans="1:18">
      <c r="A47" s="10">
        <v>0.2986111111111111</v>
      </c>
      <c r="B47" s="11">
        <v>4</v>
      </c>
      <c r="C47" s="1">
        <f t="shared" si="0"/>
        <v>6.2499999999999778E-3</v>
      </c>
      <c r="D47" s="1"/>
      <c r="H47" s="1">
        <v>0.54861111111111105</v>
      </c>
      <c r="J47" s="1">
        <f t="shared" si="2"/>
        <v>1.6666666666666718E-2</v>
      </c>
      <c r="O47">
        <v>13.999999999999989</v>
      </c>
      <c r="R47">
        <v>13.99999999999995</v>
      </c>
    </row>
    <row r="48" spans="1:18">
      <c r="A48" s="1">
        <v>0.30486111111111108</v>
      </c>
      <c r="C48" s="1">
        <f t="shared" si="0"/>
        <v>6.2500000000000333E-3</v>
      </c>
      <c r="D48" s="1"/>
      <c r="H48" s="1">
        <v>0.56527777777777777</v>
      </c>
      <c r="J48" s="1">
        <f t="shared" si="2"/>
        <v>1.6666666666666718E-2</v>
      </c>
      <c r="O48">
        <v>7.0000000000000551</v>
      </c>
      <c r="R48">
        <v>12.999999999999954</v>
      </c>
    </row>
    <row r="49" spans="1:18">
      <c r="A49" s="1">
        <v>0.31111111111111112</v>
      </c>
      <c r="C49" s="1">
        <f t="shared" si="0"/>
        <v>6.9444444444444198E-3</v>
      </c>
      <c r="H49" s="1">
        <v>0.58194444444444449</v>
      </c>
      <c r="J49" s="1">
        <f t="shared" si="2"/>
        <v>1.6666666666666607E-2</v>
      </c>
      <c r="O49">
        <v>6.9999999999999751</v>
      </c>
      <c r="R49">
        <v>14.00000000000011</v>
      </c>
    </row>
    <row r="50" spans="1:18">
      <c r="A50" s="1">
        <v>0.31805555555555554</v>
      </c>
      <c r="C50" s="1">
        <f t="shared" si="0"/>
        <v>6.2500000000000333E-3</v>
      </c>
      <c r="H50" s="1">
        <v>0.59861111111111109</v>
      </c>
      <c r="J50" s="1">
        <f t="shared" si="2"/>
        <v>1.736111111111116E-2</v>
      </c>
      <c r="O50">
        <v>7.0000000000000151</v>
      </c>
      <c r="R50">
        <v>32.999999999999886</v>
      </c>
    </row>
    <row r="51" spans="1:18">
      <c r="A51" s="1">
        <v>0.32430555555555557</v>
      </c>
      <c r="C51" s="1">
        <f t="shared" si="0"/>
        <v>6.2499999999999778E-3</v>
      </c>
      <c r="D51" s="1"/>
      <c r="H51" s="10">
        <v>0.61597222222222225</v>
      </c>
      <c r="I51" s="11">
        <v>7</v>
      </c>
      <c r="J51" s="1">
        <f t="shared" si="2"/>
        <v>1.1805555555555514E-2</v>
      </c>
      <c r="O51">
        <v>6.9999999999999751</v>
      </c>
      <c r="R51">
        <v>33.000000000000043</v>
      </c>
    </row>
    <row r="52" spans="1:18">
      <c r="A52" s="10">
        <v>0.33055555555555555</v>
      </c>
      <c r="B52" s="11">
        <v>5</v>
      </c>
      <c r="C52" s="1">
        <f t="shared" si="0"/>
        <v>1.3194444444444453E-2</v>
      </c>
      <c r="H52" s="1">
        <v>0.62777777777777777</v>
      </c>
      <c r="I52" s="1"/>
      <c r="J52" s="1">
        <f t="shared" si="2"/>
        <v>4.1666666666666519E-3</v>
      </c>
      <c r="O52">
        <v>8.0000000000000515</v>
      </c>
      <c r="R52">
        <v>33.000000000000043</v>
      </c>
    </row>
    <row r="53" spans="1:18">
      <c r="A53" s="1">
        <v>0.34375</v>
      </c>
      <c r="C53" s="1">
        <f t="shared" si="0"/>
        <v>5.5555555555555358E-3</v>
      </c>
      <c r="H53" s="1">
        <v>0.63194444444444442</v>
      </c>
      <c r="J53" s="1">
        <f t="shared" si="2"/>
        <v>3.4722222222222099E-3</v>
      </c>
      <c r="O53">
        <v>6.9999999999999751</v>
      </c>
      <c r="R53">
        <v>32.000000000000043</v>
      </c>
    </row>
    <row r="54" spans="1:18">
      <c r="A54" s="1">
        <v>0.34930555555555554</v>
      </c>
      <c r="C54" s="1">
        <f t="shared" si="0"/>
        <v>6.9444444444449749E-4</v>
      </c>
      <c r="H54" s="1">
        <v>0.63541666666666663</v>
      </c>
      <c r="J54" s="1">
        <f t="shared" si="2"/>
        <v>4.1666666666666519E-3</v>
      </c>
      <c r="O54">
        <v>6.9999999999999751</v>
      </c>
      <c r="R54">
        <v>11.999999999999957</v>
      </c>
    </row>
    <row r="55" spans="1:18">
      <c r="A55" s="2">
        <v>0.35000000000000003</v>
      </c>
      <c r="C55" s="1">
        <f t="shared" si="0"/>
        <v>7.6388888888888618E-3</v>
      </c>
      <c r="H55" s="10">
        <v>0.63958333333333328</v>
      </c>
      <c r="I55" s="11">
        <v>3</v>
      </c>
      <c r="J55" s="1">
        <f t="shared" si="2"/>
        <v>6.9444444444445308E-3</v>
      </c>
      <c r="O55">
        <v>6.9999999999999751</v>
      </c>
      <c r="R55">
        <v>12.000000000000037</v>
      </c>
    </row>
    <row r="56" spans="1:18">
      <c r="A56" s="1">
        <v>0.3576388888888889</v>
      </c>
      <c r="C56" s="1">
        <f t="shared" si="0"/>
        <v>6.9444444444444198E-3</v>
      </c>
      <c r="D56" s="1"/>
      <c r="H56" s="1">
        <v>0.64652777777777781</v>
      </c>
      <c r="J56" s="1">
        <f t="shared" si="2"/>
        <v>6.9444444444444198E-3</v>
      </c>
      <c r="O56">
        <v>6.9999999999999751</v>
      </c>
      <c r="R56">
        <v>11.999999999999957</v>
      </c>
    </row>
    <row r="57" spans="1:18">
      <c r="A57" s="1">
        <v>0.36458333333333331</v>
      </c>
      <c r="C57" s="1">
        <f t="shared" si="0"/>
        <v>7.6388888888889173E-3</v>
      </c>
      <c r="D57" s="1"/>
      <c r="H57" s="1">
        <v>0.65347222222222223</v>
      </c>
      <c r="J57" s="1">
        <f t="shared" si="2"/>
        <v>6.9444444444444198E-3</v>
      </c>
      <c r="O57">
        <v>7.0000000000000551</v>
      </c>
      <c r="R57">
        <v>24.000000000000075</v>
      </c>
    </row>
    <row r="58" spans="1:18">
      <c r="A58" s="10">
        <v>0.37222222222222223</v>
      </c>
      <c r="B58" s="11">
        <v>3</v>
      </c>
      <c r="C58" s="1">
        <f t="shared" si="0"/>
        <v>6.9444444444444198E-3</v>
      </c>
      <c r="H58" s="1">
        <v>0.66041666666666665</v>
      </c>
      <c r="J58" s="1">
        <f t="shared" si="2"/>
        <v>6.2499999999999778E-3</v>
      </c>
      <c r="O58">
        <v>5.9999999999999787</v>
      </c>
      <c r="R58">
        <v>23.999999999999915</v>
      </c>
    </row>
    <row r="59" spans="1:18">
      <c r="A59" s="1">
        <v>0.37916666666666665</v>
      </c>
      <c r="C59" s="1">
        <f t="shared" si="0"/>
        <v>5.4861111111111083E-2</v>
      </c>
      <c r="H59" s="1">
        <v>0.66666666666666663</v>
      </c>
      <c r="J59" s="1">
        <f t="shared" si="2"/>
        <v>6.9444444444445308E-3</v>
      </c>
      <c r="O59">
        <v>7.0000000000000551</v>
      </c>
      <c r="R59">
        <v>23.999999999999915</v>
      </c>
    </row>
    <row r="60" spans="1:18">
      <c r="A60" s="1">
        <v>0.43402777777777773</v>
      </c>
      <c r="C60" s="1">
        <f t="shared" si="0"/>
        <v>1.3194444444444453E-2</v>
      </c>
      <c r="H60" s="1">
        <v>0.67361111111111116</v>
      </c>
      <c r="J60" s="1">
        <f t="shared" si="2"/>
        <v>6.9444444444443088E-3</v>
      </c>
      <c r="O60">
        <v>5.9999999999999787</v>
      </c>
      <c r="R60">
        <v>24.000000000000075</v>
      </c>
    </row>
    <row r="61" spans="1:18">
      <c r="A61" s="1">
        <v>0.44722222222222219</v>
      </c>
      <c r="C61" s="1">
        <f t="shared" si="0"/>
        <v>9.7222222222222432E-3</v>
      </c>
      <c r="H61" s="10">
        <v>0.68055555555555547</v>
      </c>
      <c r="I61" s="11">
        <v>6</v>
      </c>
      <c r="J61" s="1">
        <f t="shared" si="2"/>
        <v>5.5555555555555358E-3</v>
      </c>
      <c r="O61">
        <v>5.9999999999999787</v>
      </c>
      <c r="R61">
        <v>24.000000000000075</v>
      </c>
    </row>
    <row r="62" spans="1:18">
      <c r="A62" s="1">
        <v>0.45694444444444443</v>
      </c>
      <c r="C62" s="1">
        <f t="shared" si="0"/>
        <v>3.4722222222222654E-3</v>
      </c>
      <c r="H62" s="1">
        <v>0.68611111111111101</v>
      </c>
      <c r="O62">
        <v>8.999999999999968</v>
      </c>
      <c r="R62">
        <v>23.999999999999915</v>
      </c>
    </row>
    <row r="63" spans="1:18">
      <c r="A63" s="1">
        <v>0.4604166666666667</v>
      </c>
      <c r="C63" s="1">
        <f t="shared" si="0"/>
        <v>1.8055555555555491E-2</v>
      </c>
      <c r="H63" t="s">
        <v>140</v>
      </c>
      <c r="O63">
        <v>9.000000000000048</v>
      </c>
      <c r="R63">
        <v>25.000000000000071</v>
      </c>
    </row>
    <row r="64" spans="1:18">
      <c r="A64" s="1">
        <v>0.47847222222222219</v>
      </c>
      <c r="C64" s="1">
        <f t="shared" si="0"/>
        <v>1.736111111111116E-2</v>
      </c>
      <c r="O64">
        <v>9.9999999999999645</v>
      </c>
      <c r="R64">
        <v>16.99999999999994</v>
      </c>
    </row>
    <row r="65" spans="1:18">
      <c r="A65" s="10">
        <v>0.49583333333333335</v>
      </c>
      <c r="B65" s="11">
        <v>2</v>
      </c>
      <c r="C65" s="1">
        <f t="shared" si="0"/>
        <v>1.7361111111111049E-2</v>
      </c>
      <c r="O65">
        <v>9.000000000000048</v>
      </c>
      <c r="R65">
        <v>5.9999999999999787</v>
      </c>
    </row>
    <row r="66" spans="1:18">
      <c r="A66" s="1">
        <v>0.5131944444444444</v>
      </c>
      <c r="C66" s="1">
        <f t="shared" si="0"/>
        <v>9.0277777777778567E-3</v>
      </c>
      <c r="O66">
        <v>8.999999999999968</v>
      </c>
      <c r="R66">
        <v>4.9999999999999822</v>
      </c>
    </row>
    <row r="67" spans="1:18">
      <c r="A67" s="1">
        <v>0.52222222222222225</v>
      </c>
      <c r="C67" s="1">
        <f t="shared" si="0"/>
        <v>8.3333333333333037E-3</v>
      </c>
      <c r="O67">
        <v>19.000000000000014</v>
      </c>
      <c r="R67">
        <v>5.9999999999999787</v>
      </c>
    </row>
    <row r="68" spans="1:18">
      <c r="A68" s="1">
        <v>0.53055555555555556</v>
      </c>
      <c r="C68" s="1">
        <f t="shared" si="0"/>
        <v>9.0277777777777457E-3</v>
      </c>
      <c r="O68">
        <v>7.9999999999999716</v>
      </c>
      <c r="R68">
        <v>10.000000000000124</v>
      </c>
    </row>
    <row r="69" spans="1:18">
      <c r="A69" s="1">
        <v>0.5395833333333333</v>
      </c>
      <c r="C69" s="1">
        <f t="shared" si="0"/>
        <v>8.3333333333334147E-3</v>
      </c>
      <c r="O69">
        <v>1.0000000000000764</v>
      </c>
      <c r="R69">
        <v>9.9999999999999645</v>
      </c>
    </row>
    <row r="70" spans="1:18">
      <c r="A70" s="1">
        <v>0.54791666666666672</v>
      </c>
      <c r="C70" s="1">
        <f t="shared" si="0"/>
        <v>9.0277777777777457E-3</v>
      </c>
      <c r="O70">
        <v>10.999999999999961</v>
      </c>
      <c r="R70">
        <v>9.9999999999999645</v>
      </c>
    </row>
    <row r="71" spans="1:18">
      <c r="A71" s="10">
        <v>0.55694444444444446</v>
      </c>
      <c r="B71" s="11">
        <v>5</v>
      </c>
      <c r="C71" s="1">
        <f t="shared" si="0"/>
        <v>4.8611111111110938E-3</v>
      </c>
      <c r="O71">
        <v>9.9999999999999645</v>
      </c>
      <c r="R71">
        <v>8.999999999999968</v>
      </c>
    </row>
    <row r="72" spans="1:18">
      <c r="A72" s="1">
        <v>0.56180555555555556</v>
      </c>
      <c r="C72" s="1">
        <f t="shared" ref="C72:C89" si="3">A73-A72</f>
        <v>5.5555555555555358E-3</v>
      </c>
      <c r="O72">
        <v>11.000000000000041</v>
      </c>
      <c r="R72">
        <v>10.000000000000124</v>
      </c>
    </row>
    <row r="73" spans="1:18">
      <c r="A73" s="1">
        <v>0.56736111111111109</v>
      </c>
      <c r="C73" s="1">
        <f t="shared" si="3"/>
        <v>4.8611111111110938E-3</v>
      </c>
      <c r="O73">
        <v>9.9999999999999645</v>
      </c>
      <c r="R73">
        <v>9.9999999999998046</v>
      </c>
    </row>
    <row r="74" spans="1:18">
      <c r="A74" s="10">
        <v>0.57222222222222219</v>
      </c>
      <c r="B74" s="11">
        <v>3</v>
      </c>
      <c r="C74" s="1">
        <f t="shared" si="3"/>
        <v>5.5555555555556468E-3</v>
      </c>
      <c r="O74">
        <v>78.999999999999957</v>
      </c>
      <c r="R74">
        <v>7.9999999999999716</v>
      </c>
    </row>
    <row r="75" spans="1:18">
      <c r="A75" s="1">
        <v>0.57777777777777783</v>
      </c>
      <c r="C75" s="1">
        <f t="shared" si="3"/>
        <v>6.2499999999999778E-3</v>
      </c>
      <c r="O75">
        <v>19.000000000000014</v>
      </c>
    </row>
    <row r="76" spans="1:18">
      <c r="A76" s="1">
        <v>0.58402777777777781</v>
      </c>
      <c r="C76" s="1">
        <f t="shared" si="3"/>
        <v>5.5555555555555358E-3</v>
      </c>
      <c r="O76">
        <v>14.00000000000003</v>
      </c>
    </row>
    <row r="77" spans="1:18">
      <c r="A77" s="10">
        <v>0.58958333333333335</v>
      </c>
      <c r="B77" s="11">
        <v>3</v>
      </c>
      <c r="C77" s="1">
        <f t="shared" si="3"/>
        <v>3.6111111111111094E-2</v>
      </c>
      <c r="O77">
        <v>5.0000000000000622</v>
      </c>
    </row>
    <row r="78" spans="1:18">
      <c r="A78" s="1">
        <v>0.62569444444444444</v>
      </c>
      <c r="C78" s="1">
        <f t="shared" si="3"/>
        <v>7.6388888888888618E-3</v>
      </c>
      <c r="O78">
        <v>25.999999999999908</v>
      </c>
    </row>
    <row r="79" spans="1:18">
      <c r="A79" s="1">
        <v>0.6333333333333333</v>
      </c>
      <c r="C79" s="1">
        <f t="shared" si="3"/>
        <v>7.6388888888888618E-3</v>
      </c>
      <c r="O79">
        <v>25.000000000000071</v>
      </c>
    </row>
    <row r="80" spans="1:18">
      <c r="A80" s="1">
        <v>0.64097222222222217</v>
      </c>
      <c r="C80" s="1">
        <f t="shared" si="3"/>
        <v>7.6388888888889728E-3</v>
      </c>
      <c r="O80">
        <v>24.999999999999911</v>
      </c>
    </row>
    <row r="81" spans="1:15">
      <c r="A81" s="1">
        <v>0.64861111111111114</v>
      </c>
      <c r="C81" s="1">
        <f t="shared" si="3"/>
        <v>7.6388888888888618E-3</v>
      </c>
      <c r="O81">
        <v>13.000000000000114</v>
      </c>
    </row>
    <row r="82" spans="1:15">
      <c r="A82" s="1">
        <v>0.65625</v>
      </c>
      <c r="C82" s="1">
        <f t="shared" si="3"/>
        <v>8.3333333333333037E-3</v>
      </c>
      <c r="O82">
        <v>11.999999999999957</v>
      </c>
    </row>
    <row r="83" spans="1:15">
      <c r="A83" s="1">
        <v>0.6645833333333333</v>
      </c>
      <c r="C83" s="1">
        <f t="shared" si="3"/>
        <v>7.6388888888888618E-3</v>
      </c>
      <c r="O83">
        <v>12.999999999999954</v>
      </c>
    </row>
    <row r="84" spans="1:15">
      <c r="A84" s="10">
        <v>0.67222222222222217</v>
      </c>
      <c r="B84" s="11">
        <v>6</v>
      </c>
      <c r="C84" s="1">
        <f t="shared" si="3"/>
        <v>1.1805555555555625E-2</v>
      </c>
      <c r="O84">
        <v>12.000000000000117</v>
      </c>
    </row>
    <row r="85" spans="1:15">
      <c r="A85" s="1">
        <v>0.68402777777777779</v>
      </c>
      <c r="C85" s="1">
        <f t="shared" si="3"/>
        <v>6.9444444444444198E-3</v>
      </c>
      <c r="O85">
        <v>12.999999999999954</v>
      </c>
    </row>
    <row r="86" spans="1:15">
      <c r="A86" s="1">
        <v>0.69097222222222221</v>
      </c>
      <c r="C86" s="1">
        <f t="shared" si="3"/>
        <v>6.9444444444444198E-3</v>
      </c>
      <c r="O86">
        <v>6.9999999999999751</v>
      </c>
    </row>
    <row r="87" spans="1:15">
      <c r="A87" s="1">
        <v>0.69791666666666663</v>
      </c>
      <c r="C87" s="1">
        <f t="shared" si="3"/>
        <v>6.9444444444445308E-3</v>
      </c>
      <c r="O87">
        <v>7.9999999999999716</v>
      </c>
    </row>
    <row r="88" spans="1:15">
      <c r="A88" s="1">
        <v>0.70486111111111116</v>
      </c>
      <c r="C88" s="1">
        <f t="shared" si="3"/>
        <v>6.9444444444443088E-3</v>
      </c>
      <c r="O88">
        <v>6.9999999999999751</v>
      </c>
    </row>
    <row r="89" spans="1:15">
      <c r="A89" s="1">
        <v>0.71180555555555547</v>
      </c>
      <c r="C89" s="1">
        <f t="shared" si="3"/>
        <v>6.9444444444445308E-3</v>
      </c>
      <c r="O89">
        <v>8.0000000000001315</v>
      </c>
    </row>
    <row r="90" spans="1:15">
      <c r="A90" s="10">
        <v>0.71875</v>
      </c>
      <c r="B90" s="11">
        <v>5</v>
      </c>
      <c r="G90">
        <f>90-6</f>
        <v>84</v>
      </c>
      <c r="O90">
        <v>8.999999999999968</v>
      </c>
    </row>
    <row r="91" spans="1:15">
      <c r="A91" s="4"/>
      <c r="G91">
        <f>128-92</f>
        <v>36</v>
      </c>
      <c r="O91">
        <v>7.9999999999999716</v>
      </c>
    </row>
    <row r="92" spans="1:15">
      <c r="A92" s="1">
        <v>1.3888888888888889E-3</v>
      </c>
      <c r="C92" s="1">
        <f>A93-A92</f>
        <v>2.0833333333333329E-3</v>
      </c>
      <c r="O92">
        <v>51.999999999999972</v>
      </c>
    </row>
    <row r="93" spans="1:15">
      <c r="A93" s="1">
        <v>3.472222222222222E-3</v>
      </c>
      <c r="C93" s="1">
        <f t="shared" ref="C93:C127" si="4">A94-A93</f>
        <v>1.3888888888888892E-3</v>
      </c>
      <c r="O93">
        <v>10.999999999999961</v>
      </c>
    </row>
    <row r="94" spans="1:15">
      <c r="A94" s="10">
        <v>4.8611111111111112E-3</v>
      </c>
      <c r="B94" s="11">
        <v>3</v>
      </c>
      <c r="C94" s="1">
        <f t="shared" si="4"/>
        <v>1.1805555555555555E-2</v>
      </c>
      <c r="O94">
        <v>10.999999999999961</v>
      </c>
    </row>
    <row r="95" spans="1:15">
      <c r="A95" s="1">
        <v>1.6666666666666666E-2</v>
      </c>
      <c r="C95" s="1">
        <f t="shared" si="4"/>
        <v>1.2499999999999997E-2</v>
      </c>
      <c r="O95">
        <v>11.000000000000121</v>
      </c>
    </row>
    <row r="96" spans="1:15">
      <c r="A96" s="1">
        <v>2.9166666666666664E-2</v>
      </c>
      <c r="C96" s="1">
        <f t="shared" si="4"/>
        <v>1.1805555555555559E-2</v>
      </c>
      <c r="O96">
        <v>10.999999999999961</v>
      </c>
    </row>
    <row r="97" spans="1:15">
      <c r="A97" s="1">
        <v>4.0972222222222222E-2</v>
      </c>
      <c r="C97" s="1">
        <f t="shared" si="4"/>
        <v>1.1805555555555555E-2</v>
      </c>
      <c r="O97">
        <v>11.999999999999957</v>
      </c>
    </row>
    <row r="98" spans="1:15">
      <c r="A98" s="10">
        <v>5.2777777777777778E-2</v>
      </c>
      <c r="B98" s="11">
        <v>4</v>
      </c>
      <c r="C98" s="1">
        <f t="shared" si="4"/>
        <v>1.5277777777777772E-2</v>
      </c>
      <c r="O98">
        <v>10.999999999999961</v>
      </c>
    </row>
    <row r="99" spans="1:15">
      <c r="A99" s="1">
        <v>6.805555555555555E-2</v>
      </c>
      <c r="C99" s="1">
        <f t="shared" si="4"/>
        <v>1.5277777777777779E-2</v>
      </c>
      <c r="O99">
        <v>17.000000000000099</v>
      </c>
    </row>
    <row r="100" spans="1:15">
      <c r="A100" s="10">
        <v>8.3333333333333329E-2</v>
      </c>
      <c r="B100" s="11">
        <v>2</v>
      </c>
      <c r="C100" s="1">
        <f t="shared" si="4"/>
        <v>6.9444444444444475E-3</v>
      </c>
      <c r="O100">
        <v>9.9999999999999645</v>
      </c>
    </row>
    <row r="101" spans="1:15">
      <c r="A101" s="1">
        <v>9.0277777777777776E-2</v>
      </c>
      <c r="C101" s="1">
        <f t="shared" si="4"/>
        <v>6.2499999999999917E-3</v>
      </c>
      <c r="O101">
        <v>9.9999999999999645</v>
      </c>
    </row>
    <row r="102" spans="1:15">
      <c r="A102" s="1">
        <v>9.6527777777777768E-2</v>
      </c>
      <c r="C102" s="1">
        <f t="shared" si="4"/>
        <v>6.9444444444444614E-3</v>
      </c>
      <c r="O102">
        <v>10.000000000000124</v>
      </c>
    </row>
    <row r="103" spans="1:15">
      <c r="A103" s="1">
        <v>0.10347222222222223</v>
      </c>
      <c r="C103" s="1">
        <f t="shared" si="4"/>
        <v>6.2499999999999917E-3</v>
      </c>
      <c r="O103">
        <v>9.9999999999998046</v>
      </c>
    </row>
    <row r="104" spans="1:15">
      <c r="A104" s="10">
        <v>0.10972222222222222</v>
      </c>
      <c r="B104" s="11">
        <v>4</v>
      </c>
      <c r="C104" s="1">
        <f t="shared" si="4"/>
        <v>2.0833333333333398E-3</v>
      </c>
      <c r="O104">
        <v>10.000000000000124</v>
      </c>
    </row>
    <row r="105" spans="1:15">
      <c r="A105" s="1">
        <v>0.11180555555555556</v>
      </c>
      <c r="C105" s="1">
        <f t="shared" si="4"/>
        <v>2.0833333333333259E-3</v>
      </c>
      <c r="O105">
        <v>2.9999999999999991</v>
      </c>
    </row>
    <row r="106" spans="1:15">
      <c r="A106" s="1">
        <v>0.11388888888888889</v>
      </c>
      <c r="C106" s="1">
        <f t="shared" si="4"/>
        <v>2.0833333333333259E-3</v>
      </c>
      <c r="O106">
        <v>2.0000000000000004</v>
      </c>
    </row>
    <row r="107" spans="1:15">
      <c r="A107" s="1">
        <v>0.11597222222222221</v>
      </c>
      <c r="C107" s="1">
        <f t="shared" si="4"/>
        <v>2.0833333333333537E-3</v>
      </c>
      <c r="O107">
        <v>17</v>
      </c>
    </row>
    <row r="108" spans="1:15">
      <c r="A108" s="10">
        <v>0.11805555555555557</v>
      </c>
      <c r="B108" s="11">
        <v>4</v>
      </c>
      <c r="C108" s="1">
        <f t="shared" si="4"/>
        <v>1.4583333333333323E-2</v>
      </c>
      <c r="O108">
        <v>17.999999999999996</v>
      </c>
    </row>
    <row r="109" spans="1:15">
      <c r="A109" s="1">
        <v>0.13263888888888889</v>
      </c>
      <c r="C109" s="1">
        <f t="shared" si="4"/>
        <v>1.5277777777777779E-2</v>
      </c>
      <c r="O109">
        <v>17.000000000000007</v>
      </c>
    </row>
    <row r="110" spans="1:15">
      <c r="A110" s="1">
        <v>0.14791666666666667</v>
      </c>
      <c r="C110" s="1">
        <f t="shared" si="4"/>
        <v>1.4583333333333337E-2</v>
      </c>
      <c r="O110">
        <v>17</v>
      </c>
    </row>
    <row r="111" spans="1:15">
      <c r="A111" s="10">
        <v>0.16250000000000001</v>
      </c>
      <c r="B111" s="11">
        <v>3</v>
      </c>
      <c r="C111" s="1">
        <f t="shared" si="4"/>
        <v>9.7222222222222432E-3</v>
      </c>
      <c r="O111">
        <v>21.999999999999993</v>
      </c>
    </row>
    <row r="112" spans="1:15">
      <c r="A112" s="1">
        <v>0.17222222222222225</v>
      </c>
      <c r="C112" s="1">
        <f t="shared" si="4"/>
        <v>9.7222222222221877E-3</v>
      </c>
      <c r="O112">
        <v>22</v>
      </c>
    </row>
    <row r="113" spans="1:15">
      <c r="A113" s="1">
        <v>0.18194444444444444</v>
      </c>
      <c r="C113" s="1">
        <f t="shared" si="4"/>
        <v>9.7222222222222154E-3</v>
      </c>
      <c r="O113">
        <v>10.000000000000004</v>
      </c>
    </row>
    <row r="114" spans="1:15">
      <c r="A114" s="1">
        <v>0.19166666666666665</v>
      </c>
      <c r="C114" s="1">
        <f t="shared" si="4"/>
        <v>9.7222222222222154E-3</v>
      </c>
      <c r="O114">
        <v>8.9999999999999876</v>
      </c>
    </row>
    <row r="115" spans="1:15">
      <c r="A115" s="1">
        <v>0.20138888888888887</v>
      </c>
      <c r="C115" s="1">
        <f t="shared" si="4"/>
        <v>1.0416666666666685E-2</v>
      </c>
      <c r="O115">
        <v>10.000000000000025</v>
      </c>
    </row>
    <row r="116" spans="1:15">
      <c r="A116" s="10">
        <v>0.21180555555555555</v>
      </c>
      <c r="B116" s="11">
        <v>5</v>
      </c>
      <c r="C116" s="1">
        <f t="shared" si="4"/>
        <v>1.1805555555555541E-2</v>
      </c>
      <c r="O116">
        <v>8.9999999999999876</v>
      </c>
    </row>
    <row r="117" spans="1:15">
      <c r="A117" s="1">
        <v>0.22361111111111109</v>
      </c>
      <c r="C117" s="1">
        <f t="shared" si="4"/>
        <v>2.9861111111111116E-2</v>
      </c>
      <c r="O117">
        <v>3.0000000000000093</v>
      </c>
    </row>
    <row r="118" spans="1:15">
      <c r="A118" s="1">
        <v>0.25347222222222221</v>
      </c>
      <c r="C118" s="1">
        <f t="shared" si="4"/>
        <v>2.0833333333333814E-3</v>
      </c>
      <c r="O118">
        <v>2.9999999999999893</v>
      </c>
    </row>
    <row r="119" spans="1:15">
      <c r="A119" s="1">
        <v>0.25555555555555559</v>
      </c>
      <c r="C119" s="1">
        <f t="shared" si="4"/>
        <v>1.388888888888884E-3</v>
      </c>
      <c r="O119">
        <v>2.9999999999999893</v>
      </c>
    </row>
    <row r="120" spans="1:15">
      <c r="A120" s="1">
        <v>0.25694444444444448</v>
      </c>
      <c r="C120" s="1">
        <f t="shared" si="4"/>
        <v>2.0833333333333259E-3</v>
      </c>
      <c r="O120">
        <v>3.0000000000000293</v>
      </c>
    </row>
    <row r="121" spans="1:15">
      <c r="A121" s="1">
        <v>0.2590277777777778</v>
      </c>
      <c r="C121" s="1">
        <f t="shared" si="4"/>
        <v>2.0833333333333259E-3</v>
      </c>
      <c r="O121">
        <v>20.999999999999986</v>
      </c>
    </row>
    <row r="122" spans="1:15">
      <c r="A122" s="1">
        <v>0.26111111111111113</v>
      </c>
      <c r="C122" s="1">
        <f t="shared" si="4"/>
        <v>2.0833333333333259E-3</v>
      </c>
      <c r="O122">
        <v>22</v>
      </c>
    </row>
    <row r="123" spans="1:15">
      <c r="A123" s="1">
        <v>0.26319444444444445</v>
      </c>
      <c r="C123" s="1">
        <f t="shared" si="4"/>
        <v>1.388888888888884E-3</v>
      </c>
      <c r="O123">
        <v>21.000000000000007</v>
      </c>
    </row>
    <row r="124" spans="1:15">
      <c r="A124" s="1">
        <v>0.26458333333333334</v>
      </c>
      <c r="C124" s="1">
        <f t="shared" si="4"/>
        <v>2.0833333333333259E-3</v>
      </c>
      <c r="O124">
        <v>14.00000000000003</v>
      </c>
    </row>
    <row r="125" spans="1:15">
      <c r="A125" s="10">
        <v>0.26666666666666666</v>
      </c>
      <c r="B125" s="11">
        <v>7</v>
      </c>
      <c r="C125" s="1">
        <f t="shared" si="4"/>
        <v>9.0277777777778012E-3</v>
      </c>
      <c r="E125" s="3"/>
      <c r="O125">
        <v>13.99999999999995</v>
      </c>
    </row>
    <row r="126" spans="1:15">
      <c r="A126" s="1">
        <v>0.27569444444444446</v>
      </c>
      <c r="C126" s="1">
        <f t="shared" si="4"/>
        <v>8.3333333333333037E-3</v>
      </c>
      <c r="E126" s="3"/>
      <c r="F126" s="1"/>
      <c r="O126">
        <v>13.999999999999989</v>
      </c>
    </row>
    <row r="127" spans="1:15">
      <c r="A127" s="1">
        <v>0.28402777777777777</v>
      </c>
      <c r="C127" s="1">
        <f t="shared" si="4"/>
        <v>9.0277777777778012E-3</v>
      </c>
      <c r="E127" s="3"/>
      <c r="O127">
        <v>13.999999999999989</v>
      </c>
    </row>
    <row r="128" spans="1:15">
      <c r="A128" s="1">
        <v>0.29305555555555557</v>
      </c>
      <c r="B128">
        <v>3</v>
      </c>
      <c r="O128">
        <v>15.000000000000027</v>
      </c>
    </row>
    <row r="129" spans="15:15">
      <c r="O129">
        <v>16.999999999999979</v>
      </c>
    </row>
    <row r="130" spans="15:15">
      <c r="O130">
        <v>43.000000000000007</v>
      </c>
    </row>
    <row r="131" spans="15:15">
      <c r="O131">
        <v>3.0000000000000693</v>
      </c>
    </row>
    <row r="132" spans="15:15">
      <c r="O132">
        <v>1.9999999999999929</v>
      </c>
    </row>
    <row r="133" spans="15:15">
      <c r="O133">
        <v>2.9999999999999893</v>
      </c>
    </row>
    <row r="134" spans="15:15">
      <c r="O134">
        <v>2.9999999999999893</v>
      </c>
    </row>
    <row r="135" spans="15:15">
      <c r="O135">
        <v>2.9999999999999893</v>
      </c>
    </row>
    <row r="136" spans="15:15">
      <c r="O136">
        <v>1.9999999999999929</v>
      </c>
    </row>
    <row r="137" spans="15:15">
      <c r="O137">
        <v>2.9999999999999893</v>
      </c>
    </row>
    <row r="138" spans="15:15">
      <c r="O138">
        <v>13.000000000000034</v>
      </c>
    </row>
    <row r="139" spans="15:15">
      <c r="O139">
        <v>11.999999999999957</v>
      </c>
    </row>
    <row r="140" spans="15:15">
      <c r="O140">
        <v>13.000000000000034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W286"/>
  <sheetViews>
    <sheetView workbookViewId="0">
      <selection activeCell="A20" sqref="A20"/>
    </sheetView>
  </sheetViews>
  <sheetFormatPr defaultRowHeight="15"/>
  <cols>
    <col min="3" max="3" width="10.5703125" customWidth="1"/>
    <col min="6" max="6" width="10.85546875" customWidth="1"/>
    <col min="7" max="7" width="14.28515625" customWidth="1"/>
    <col min="9" max="9" width="9.140625" style="17"/>
    <col min="13" max="13" width="23.85546875" customWidth="1"/>
  </cols>
  <sheetData>
    <row r="1" spans="1:23">
      <c r="A1" t="s">
        <v>159</v>
      </c>
      <c r="I1"/>
    </row>
    <row r="2" spans="1:23">
      <c r="I2"/>
    </row>
    <row r="3" spans="1:23">
      <c r="A3" t="s">
        <v>160</v>
      </c>
      <c r="B3">
        <v>84</v>
      </c>
      <c r="I3"/>
      <c r="L3" s="7" t="s">
        <v>88</v>
      </c>
      <c r="M3" s="8"/>
      <c r="N3" s="8" t="s">
        <v>6</v>
      </c>
      <c r="O3" s="8" t="s">
        <v>19</v>
      </c>
      <c r="P3" s="8" t="s">
        <v>24</v>
      </c>
      <c r="Q3" s="8"/>
      <c r="R3" s="8" t="s">
        <v>89</v>
      </c>
      <c r="S3" s="8"/>
      <c r="T3" s="8"/>
    </row>
    <row r="4" spans="1:23">
      <c r="A4" t="s">
        <v>161</v>
      </c>
      <c r="B4">
        <v>83</v>
      </c>
      <c r="I4"/>
      <c r="L4" s="7" t="s">
        <v>163</v>
      </c>
      <c r="M4" s="8"/>
      <c r="N4" s="8" t="s">
        <v>219</v>
      </c>
      <c r="O4" s="8"/>
      <c r="P4" s="8"/>
      <c r="Q4" s="8"/>
      <c r="R4" s="8"/>
      <c r="S4" s="8"/>
      <c r="T4" s="8"/>
    </row>
    <row r="5" spans="1:23">
      <c r="I5"/>
      <c r="M5" s="8" t="s">
        <v>236</v>
      </c>
      <c r="N5" s="8" t="s">
        <v>239</v>
      </c>
      <c r="O5" s="8"/>
      <c r="P5" s="8"/>
      <c r="Q5" s="8"/>
      <c r="R5" s="8"/>
      <c r="S5" s="8" t="s">
        <v>90</v>
      </c>
      <c r="T5" s="8"/>
    </row>
    <row r="6" spans="1:23">
      <c r="A6" t="s">
        <v>121</v>
      </c>
      <c r="C6" t="s">
        <v>122</v>
      </c>
      <c r="D6" t="s">
        <v>21</v>
      </c>
      <c r="E6" t="s">
        <v>124</v>
      </c>
      <c r="F6" t="s">
        <v>162</v>
      </c>
      <c r="G6" t="s">
        <v>126</v>
      </c>
      <c r="H6" t="s">
        <v>8</v>
      </c>
      <c r="I6"/>
      <c r="J6" t="s">
        <v>127</v>
      </c>
      <c r="M6" s="8"/>
      <c r="N6" s="8">
        <v>2162</v>
      </c>
      <c r="O6" s="8"/>
      <c r="P6" s="8"/>
      <c r="Q6" s="8"/>
      <c r="R6" s="8"/>
      <c r="S6" s="8"/>
      <c r="T6" s="8"/>
    </row>
    <row r="7" spans="1:23">
      <c r="A7" s="1">
        <v>0</v>
      </c>
      <c r="C7" s="1">
        <f>A8-A7</f>
        <v>4.5833333333333334E-3</v>
      </c>
      <c r="D7" s="1">
        <v>0.86944444444444446</v>
      </c>
      <c r="E7" s="1">
        <v>0.86944444444444446</v>
      </c>
      <c r="F7" s="1">
        <v>7.9166666666666663E-2</v>
      </c>
      <c r="G7" s="1">
        <f>F7</f>
        <v>7.9166666666666663E-2</v>
      </c>
      <c r="H7" s="1">
        <v>0</v>
      </c>
      <c r="J7" s="1">
        <f>H8-H7</f>
        <v>2.0833333333333333E-3</v>
      </c>
      <c r="M7" s="8"/>
      <c r="N7" s="8" t="s">
        <v>20</v>
      </c>
      <c r="O7" s="8" t="s">
        <v>21</v>
      </c>
      <c r="P7" s="8" t="s">
        <v>22</v>
      </c>
      <c r="Q7" s="8" t="s">
        <v>23</v>
      </c>
      <c r="R7" s="8"/>
      <c r="S7" s="8"/>
      <c r="T7" s="8"/>
      <c r="U7" s="8" t="s">
        <v>99</v>
      </c>
      <c r="V7" s="8"/>
    </row>
    <row r="8" spans="1:23">
      <c r="A8" s="1">
        <v>4.5833333333333334E-3</v>
      </c>
      <c r="C8" s="1">
        <f t="shared" ref="C8:C71" si="0">A9-A8</f>
        <v>4.5833333333333334E-3</v>
      </c>
      <c r="D8" s="4"/>
      <c r="E8" s="4"/>
      <c r="F8" s="1">
        <v>0.30208333333333331</v>
      </c>
      <c r="G8" s="1">
        <f>F8-F7</f>
        <v>0.22291666666666665</v>
      </c>
      <c r="H8" s="1">
        <v>2.0833333333333333E-3</v>
      </c>
      <c r="J8" s="1">
        <f t="shared" ref="J8:J71" si="1">H9-H8</f>
        <v>2.0833333333333333E-3</v>
      </c>
      <c r="K8" s="1"/>
      <c r="M8" s="8" t="s">
        <v>31</v>
      </c>
      <c r="N8" s="8">
        <v>271</v>
      </c>
      <c r="O8" s="8">
        <v>6</v>
      </c>
      <c r="P8" s="8">
        <v>7</v>
      </c>
      <c r="Q8" s="8">
        <v>234</v>
      </c>
      <c r="R8" s="8"/>
      <c r="S8" s="8"/>
      <c r="T8" s="8"/>
      <c r="U8" s="8" t="s">
        <v>13</v>
      </c>
      <c r="V8" s="8">
        <v>84</v>
      </c>
    </row>
    <row r="9" spans="1:23">
      <c r="A9" s="1">
        <v>9.1666666666666667E-3</v>
      </c>
      <c r="C9" s="1">
        <f t="shared" si="0"/>
        <v>4.5833333333333334E-3</v>
      </c>
      <c r="D9" s="1">
        <v>0.76874999999999993</v>
      </c>
      <c r="E9" s="1">
        <f>D9</f>
        <v>0.76874999999999993</v>
      </c>
      <c r="F9" s="1">
        <v>0.79583333333333339</v>
      </c>
      <c r="G9" s="1">
        <f>F9-F8</f>
        <v>0.49375000000000008</v>
      </c>
      <c r="H9" s="1">
        <v>4.1666666666666666E-3</v>
      </c>
      <c r="J9" s="1">
        <f t="shared" si="1"/>
        <v>2.0833333333333337E-3</v>
      </c>
      <c r="M9" s="8" t="s">
        <v>65</v>
      </c>
      <c r="N9" s="8" t="s">
        <v>164</v>
      </c>
      <c r="O9" s="8" t="s">
        <v>165</v>
      </c>
      <c r="P9" s="8" t="s">
        <v>166</v>
      </c>
      <c r="Q9" s="8" t="s">
        <v>167</v>
      </c>
      <c r="R9" s="8"/>
      <c r="S9" s="8"/>
      <c r="T9" s="8"/>
      <c r="U9" s="8" t="s">
        <v>14</v>
      </c>
      <c r="V9" s="8">
        <v>83</v>
      </c>
    </row>
    <row r="10" spans="1:23">
      <c r="A10" s="1">
        <v>1.375E-2</v>
      </c>
      <c r="C10" s="1">
        <f t="shared" si="0"/>
        <v>4.5833333333333334E-3</v>
      </c>
      <c r="D10" s="1">
        <v>0.84236111111111101</v>
      </c>
      <c r="E10" s="1">
        <f>D10-D9</f>
        <v>7.3611111111111072E-2</v>
      </c>
      <c r="F10" s="4"/>
      <c r="G10" s="4"/>
      <c r="H10" s="1">
        <v>6.2500000000000003E-3</v>
      </c>
      <c r="J10" s="1">
        <f t="shared" si="1"/>
        <v>2.0833333333333329E-3</v>
      </c>
      <c r="K10" s="1"/>
    </row>
    <row r="11" spans="1:23">
      <c r="A11" s="1">
        <v>1.8333333333333333E-2</v>
      </c>
      <c r="C11" s="1">
        <f t="shared" si="0"/>
        <v>4.5833333333333351E-3</v>
      </c>
      <c r="D11" s="1">
        <v>0.84861111111111109</v>
      </c>
      <c r="E11" s="1">
        <f>D11-D10</f>
        <v>6.2500000000000888E-3</v>
      </c>
      <c r="F11" s="1">
        <v>0.71805555555555556</v>
      </c>
      <c r="G11" s="1">
        <f>F11</f>
        <v>0.71805555555555556</v>
      </c>
      <c r="H11" s="1">
        <v>8.3333333333333332E-3</v>
      </c>
      <c r="J11" s="1">
        <f t="shared" si="1"/>
        <v>2.0833333333333329E-3</v>
      </c>
      <c r="K11" s="1"/>
      <c r="M11">
        <f>36*60+2</f>
        <v>2162</v>
      </c>
      <c r="O11">
        <f>275-4</f>
        <v>271</v>
      </c>
    </row>
    <row r="12" spans="1:23">
      <c r="A12" s="10">
        <v>2.2916666666666669E-2</v>
      </c>
      <c r="B12" s="11">
        <v>5</v>
      </c>
      <c r="C12" s="1">
        <f t="shared" si="0"/>
        <v>7.6388888888888895E-3</v>
      </c>
      <c r="D12" s="2">
        <v>1.0027777777777778</v>
      </c>
      <c r="E12" s="1">
        <f>D12-D11</f>
        <v>0.15416666666666667</v>
      </c>
      <c r="F12" s="1">
        <v>0.85902777777777783</v>
      </c>
      <c r="G12" s="1">
        <f>F12-F11</f>
        <v>0.14097222222222228</v>
      </c>
      <c r="H12" s="10">
        <v>1.0416666666666666E-2</v>
      </c>
      <c r="I12" s="19">
        <v>5</v>
      </c>
      <c r="J12" s="1">
        <f t="shared" si="1"/>
        <v>4.7222222222222231E-3</v>
      </c>
      <c r="K12" s="1"/>
    </row>
    <row r="13" spans="1:23">
      <c r="A13" s="1">
        <v>3.0555555555555558E-2</v>
      </c>
      <c r="C13" s="1">
        <f t="shared" si="0"/>
        <v>7.6388888888888895E-3</v>
      </c>
      <c r="D13" s="2">
        <v>1.3708333333333333</v>
      </c>
      <c r="E13" s="1">
        <f>D13-D12</f>
        <v>0.36805555555555558</v>
      </c>
      <c r="F13" s="1">
        <v>0.92708333333333337</v>
      </c>
      <c r="G13" s="1">
        <f>F13-F12</f>
        <v>6.8055555555555536E-2</v>
      </c>
      <c r="H13" s="1">
        <v>1.5138888888888889E-2</v>
      </c>
      <c r="J13" s="1">
        <f t="shared" si="1"/>
        <v>4.7222222222222214E-3</v>
      </c>
      <c r="K13" s="1"/>
      <c r="O13" t="s">
        <v>91</v>
      </c>
      <c r="P13" t="s">
        <v>92</v>
      </c>
      <c r="Q13" t="s">
        <v>93</v>
      </c>
      <c r="R13" t="s">
        <v>94</v>
      </c>
    </row>
    <row r="14" spans="1:23">
      <c r="A14" s="1">
        <v>3.8194444444444448E-2</v>
      </c>
      <c r="C14" s="1">
        <f t="shared" si="0"/>
        <v>7.6388888888888895E-3</v>
      </c>
      <c r="D14" s="1"/>
      <c r="F14" s="1">
        <v>0.95416666666666661</v>
      </c>
      <c r="G14" s="1">
        <f>F14-F13</f>
        <v>2.7083333333333237E-2</v>
      </c>
      <c r="H14" s="1">
        <v>1.9861111111111111E-2</v>
      </c>
      <c r="J14" s="1">
        <f t="shared" si="1"/>
        <v>4.7222222222222214E-3</v>
      </c>
      <c r="K14" s="1"/>
      <c r="N14" s="14"/>
      <c r="O14" s="17">
        <v>6.6000000000000005</v>
      </c>
      <c r="P14">
        <v>1252</v>
      </c>
      <c r="Q14">
        <v>114</v>
      </c>
      <c r="R14" s="17">
        <v>3</v>
      </c>
      <c r="V14">
        <f>159/60</f>
        <v>2.65</v>
      </c>
    </row>
    <row r="15" spans="1:23">
      <c r="A15" s="10">
        <v>4.5833333333333337E-2</v>
      </c>
      <c r="B15" s="11">
        <v>3</v>
      </c>
      <c r="C15" s="1">
        <f t="shared" si="0"/>
        <v>3.8194444444444448E-3</v>
      </c>
      <c r="D15" s="1"/>
      <c r="H15" s="1">
        <v>2.4583333333333332E-2</v>
      </c>
      <c r="J15" s="1">
        <f t="shared" si="1"/>
        <v>4.7222222222222214E-3</v>
      </c>
      <c r="K15" s="1"/>
      <c r="N15" s="14"/>
      <c r="O15" s="17">
        <v>6.6000000000000005</v>
      </c>
      <c r="P15">
        <v>1106.9999999999998</v>
      </c>
      <c r="Q15">
        <v>321</v>
      </c>
      <c r="R15" s="17">
        <v>3</v>
      </c>
    </row>
    <row r="16" spans="1:23">
      <c r="A16" s="1">
        <v>4.9652777777777782E-2</v>
      </c>
      <c r="C16" s="1">
        <f t="shared" si="0"/>
        <v>3.8194444444444448E-3</v>
      </c>
      <c r="D16" s="1"/>
      <c r="H16" s="1">
        <v>2.9305555555555553E-2</v>
      </c>
      <c r="J16" s="1">
        <f t="shared" si="1"/>
        <v>4.7222222222222214E-3</v>
      </c>
      <c r="K16" s="1"/>
      <c r="N16" s="14"/>
      <c r="O16" s="17">
        <v>6.6000000000000005</v>
      </c>
      <c r="P16">
        <v>105.99999999999994</v>
      </c>
      <c r="Q16">
        <v>711.00000000000011</v>
      </c>
      <c r="R16" s="17">
        <v>3.0000000000000009</v>
      </c>
      <c r="W16">
        <f>159/2</f>
        <v>79.5</v>
      </c>
    </row>
    <row r="17" spans="1:23">
      <c r="A17" s="1">
        <v>5.3472222222222227E-2</v>
      </c>
      <c r="B17" s="1"/>
      <c r="C17" s="1">
        <f t="shared" si="0"/>
        <v>3.8194444444444448E-3</v>
      </c>
      <c r="D17" s="1"/>
      <c r="H17" s="10">
        <v>3.4027777777777775E-2</v>
      </c>
      <c r="I17" s="19">
        <v>5</v>
      </c>
      <c r="J17" s="1">
        <f t="shared" si="1"/>
        <v>5.5555555555555566E-3</v>
      </c>
      <c r="K17" s="1"/>
      <c r="N17" s="14"/>
      <c r="O17" s="17">
        <v>6.6000000000000005</v>
      </c>
      <c r="P17">
        <v>9.0000000000001279</v>
      </c>
      <c r="Q17">
        <v>1034</v>
      </c>
      <c r="R17" s="17">
        <v>2.9999999999999991</v>
      </c>
      <c r="U17">
        <f>26-14</f>
        <v>12</v>
      </c>
    </row>
    <row r="18" spans="1:23">
      <c r="A18" s="1">
        <v>5.7291666666666671E-2</v>
      </c>
      <c r="B18" s="1"/>
      <c r="C18" s="1">
        <f t="shared" si="0"/>
        <v>3.8194444444444448E-3</v>
      </c>
      <c r="D18" s="1"/>
      <c r="H18" s="1">
        <v>3.9583333333333331E-2</v>
      </c>
      <c r="J18" s="1">
        <f t="shared" si="1"/>
        <v>5.5555555555555566E-3</v>
      </c>
      <c r="K18" s="1"/>
      <c r="N18" s="14"/>
      <c r="O18" s="17">
        <v>6.6000000000000032</v>
      </c>
      <c r="P18">
        <v>222</v>
      </c>
      <c r="Q18">
        <v>203.00000000000006</v>
      </c>
      <c r="R18" s="17">
        <v>2.9999999999999991</v>
      </c>
      <c r="W18">
        <v>159</v>
      </c>
    </row>
    <row r="19" spans="1:23">
      <c r="A19" s="10">
        <v>6.1111111111111116E-2</v>
      </c>
      <c r="B19" s="11">
        <v>4</v>
      </c>
      <c r="C19" s="1">
        <f t="shared" si="0"/>
        <v>5.1215277777777735E-3</v>
      </c>
      <c r="D19" s="1"/>
      <c r="H19" s="13">
        <v>4.5138888888888888E-2</v>
      </c>
      <c r="J19" s="1">
        <f t="shared" si="1"/>
        <v>5.5555555555555636E-3</v>
      </c>
      <c r="K19" s="1"/>
      <c r="N19" s="14"/>
      <c r="O19" s="17">
        <v>11</v>
      </c>
      <c r="P19">
        <v>530</v>
      </c>
      <c r="Q19">
        <v>97.999999999999972</v>
      </c>
      <c r="R19" s="17">
        <v>6.8000000000000007</v>
      </c>
      <c r="W19">
        <f>W18-60</f>
        <v>99</v>
      </c>
    </row>
    <row r="20" spans="1:23">
      <c r="A20" s="1">
        <v>6.623263888888889E-2</v>
      </c>
      <c r="C20" s="1">
        <f t="shared" si="0"/>
        <v>5.1215277777777735E-3</v>
      </c>
      <c r="D20" s="1"/>
      <c r="H20" s="10">
        <v>5.0694444444444452E-2</v>
      </c>
      <c r="I20" s="19">
        <v>3</v>
      </c>
      <c r="J20" s="1">
        <f t="shared" si="1"/>
        <v>4.3402777777777762E-3</v>
      </c>
      <c r="K20" s="1"/>
      <c r="N20" s="14"/>
      <c r="O20" s="17">
        <v>11</v>
      </c>
      <c r="Q20">
        <v>38.999999999999858</v>
      </c>
      <c r="R20" s="17">
        <v>6.7999999999999989</v>
      </c>
      <c r="W20">
        <f>W19-60</f>
        <v>39</v>
      </c>
    </row>
    <row r="21" spans="1:23">
      <c r="A21" s="1">
        <v>7.1354166666666663E-2</v>
      </c>
      <c r="C21" s="1">
        <f t="shared" si="0"/>
        <v>5.1215277777777735E-3</v>
      </c>
      <c r="D21" s="1"/>
      <c r="H21" s="1">
        <v>5.5034722222222228E-2</v>
      </c>
      <c r="J21" s="1">
        <f t="shared" si="1"/>
        <v>4.3402777777777762E-3</v>
      </c>
      <c r="K21" s="1"/>
      <c r="N21" s="14"/>
      <c r="O21" s="17">
        <v>11</v>
      </c>
      <c r="R21" s="17">
        <v>6.7999999999999989</v>
      </c>
    </row>
    <row r="22" spans="1:23">
      <c r="A22" s="1">
        <v>7.6475694444444436E-2</v>
      </c>
      <c r="C22" s="1">
        <f t="shared" si="0"/>
        <v>5.1215277777777735E-3</v>
      </c>
      <c r="D22" s="1"/>
      <c r="H22" s="1">
        <v>5.9375000000000004E-2</v>
      </c>
      <c r="J22" s="1">
        <f t="shared" si="1"/>
        <v>4.3402777777777693E-3</v>
      </c>
      <c r="K22" s="1"/>
      <c r="N22" s="14"/>
      <c r="O22" s="17">
        <v>5.5</v>
      </c>
      <c r="R22" s="17">
        <v>6.7999999999999989</v>
      </c>
      <c r="W22">
        <f>60*2</f>
        <v>120</v>
      </c>
    </row>
    <row r="23" spans="1:23">
      <c r="A23" s="1">
        <v>8.159722222222221E-2</v>
      </c>
      <c r="C23" s="1">
        <f t="shared" si="0"/>
        <v>5.1215277777777735E-3</v>
      </c>
      <c r="D23" s="1"/>
      <c r="H23" s="1">
        <v>6.3715277777777773E-2</v>
      </c>
      <c r="J23" s="1">
        <f t="shared" si="1"/>
        <v>4.3402777777777762E-3</v>
      </c>
      <c r="K23" s="1"/>
      <c r="N23" s="14"/>
      <c r="O23" s="17">
        <v>5.5</v>
      </c>
      <c r="R23" s="17">
        <v>6.7999999999999989</v>
      </c>
      <c r="W23">
        <f>W22+39</f>
        <v>159</v>
      </c>
    </row>
    <row r="24" spans="1:23">
      <c r="A24" s="1">
        <v>8.6718749999999983E-2</v>
      </c>
      <c r="C24" s="1">
        <f t="shared" si="0"/>
        <v>5.1215277777777735E-3</v>
      </c>
      <c r="D24" s="1"/>
      <c r="H24" s="10">
        <v>6.805555555555555E-2</v>
      </c>
      <c r="I24" s="19">
        <v>4</v>
      </c>
      <c r="J24" s="1">
        <f t="shared" si="1"/>
        <v>4.6874999999999972E-3</v>
      </c>
      <c r="K24" s="1"/>
      <c r="N24" s="14"/>
      <c r="O24" s="17">
        <v>5.5</v>
      </c>
      <c r="R24" s="17">
        <v>8</v>
      </c>
    </row>
    <row r="25" spans="1:23">
      <c r="A25" s="1">
        <v>9.1840277777777757E-2</v>
      </c>
      <c r="C25" s="1">
        <f t="shared" si="0"/>
        <v>5.1215277777777735E-3</v>
      </c>
      <c r="D25" s="1"/>
      <c r="H25" s="1">
        <v>7.2743055555555547E-2</v>
      </c>
      <c r="J25" s="1">
        <f t="shared" si="1"/>
        <v>4.6874999999999972E-3</v>
      </c>
      <c r="K25" s="1"/>
      <c r="N25" s="14"/>
      <c r="O25" s="17">
        <v>5.5</v>
      </c>
      <c r="R25" s="17">
        <v>8</v>
      </c>
    </row>
    <row r="26" spans="1:23">
      <c r="A26" s="1">
        <v>9.696180555555553E-2</v>
      </c>
      <c r="C26" s="1">
        <f t="shared" si="0"/>
        <v>5.1215277777778151E-3</v>
      </c>
      <c r="D26" s="1"/>
      <c r="H26" s="1">
        <v>7.7430555555555544E-2</v>
      </c>
      <c r="J26" s="1">
        <f t="shared" si="1"/>
        <v>4.6874999999999972E-3</v>
      </c>
      <c r="K26" s="1"/>
      <c r="N26" s="14"/>
      <c r="O26" s="17">
        <v>7.3749999999999938</v>
      </c>
      <c r="R26" s="17">
        <v>8.0000000000000107</v>
      </c>
    </row>
    <row r="27" spans="1:23">
      <c r="A27" s="10">
        <v>0.10208333333333335</v>
      </c>
      <c r="B27" s="11">
        <v>8</v>
      </c>
      <c r="C27" s="1">
        <f t="shared" si="0"/>
        <v>8.6805555555555525E-3</v>
      </c>
      <c r="D27" s="1"/>
      <c r="H27" s="1">
        <v>8.2118055555555541E-2</v>
      </c>
      <c r="J27" s="1">
        <f t="shared" si="1"/>
        <v>4.6874999999999972E-3</v>
      </c>
      <c r="K27" s="1"/>
      <c r="N27" s="14"/>
      <c r="O27" s="17">
        <v>7.3749999999999938</v>
      </c>
      <c r="R27" s="17">
        <v>6.2499999999999982</v>
      </c>
    </row>
    <row r="28" spans="1:23">
      <c r="A28" s="1">
        <v>0.1107638888888889</v>
      </c>
      <c r="C28" s="1">
        <f t="shared" si="0"/>
        <v>8.6805555555555525E-3</v>
      </c>
      <c r="D28" s="1"/>
      <c r="H28" s="1">
        <v>8.6805555555555539E-2</v>
      </c>
      <c r="J28" s="1">
        <f t="shared" si="1"/>
        <v>4.6874999999999972E-3</v>
      </c>
      <c r="K28" s="1"/>
      <c r="N28" s="14"/>
      <c r="O28" s="17">
        <v>7.3749999999999938</v>
      </c>
      <c r="R28" s="17">
        <v>6.2499999999999982</v>
      </c>
    </row>
    <row r="29" spans="1:23">
      <c r="A29" s="10">
        <v>0.11944444444444445</v>
      </c>
      <c r="B29" s="11">
        <v>2</v>
      </c>
      <c r="C29" s="1">
        <f t="shared" si="0"/>
        <v>3.3459595959595967E-3</v>
      </c>
      <c r="D29" s="1"/>
      <c r="H29" s="1">
        <v>9.1493055555555536E-2</v>
      </c>
      <c r="J29" s="1">
        <f t="shared" si="1"/>
        <v>4.6874999999999972E-3</v>
      </c>
      <c r="K29" s="1"/>
      <c r="N29" s="14"/>
      <c r="O29" s="17">
        <v>7.3749999999999938</v>
      </c>
      <c r="R29" s="17">
        <v>6.2499999999999885</v>
      </c>
    </row>
    <row r="30" spans="1:23">
      <c r="A30" s="1">
        <v>0.12279040404040405</v>
      </c>
      <c r="C30" s="1">
        <f t="shared" si="0"/>
        <v>3.3459595959595828E-3</v>
      </c>
      <c r="D30" s="1"/>
      <c r="H30" s="1">
        <v>9.6180555555555533E-2</v>
      </c>
      <c r="J30" s="1">
        <f t="shared" si="1"/>
        <v>4.6874999999999972E-3</v>
      </c>
      <c r="K30" s="1"/>
      <c r="N30" s="14"/>
      <c r="O30" s="17">
        <v>7.3749999999999938</v>
      </c>
      <c r="R30" s="17">
        <v>6.2499999999999982</v>
      </c>
    </row>
    <row r="31" spans="1:23">
      <c r="A31" s="1">
        <v>0.12613636363636363</v>
      </c>
      <c r="C31" s="1">
        <f t="shared" si="0"/>
        <v>3.3459595959595967E-3</v>
      </c>
      <c r="D31" s="1"/>
      <c r="E31" s="1"/>
      <c r="H31" s="1">
        <v>0.10086805555555553</v>
      </c>
      <c r="J31" s="1">
        <f t="shared" si="1"/>
        <v>4.687500000000025E-3</v>
      </c>
      <c r="K31" s="1"/>
      <c r="N31" s="14"/>
      <c r="O31" s="17">
        <v>7.3749999999999938</v>
      </c>
      <c r="R31" s="17">
        <v>6.7499999999999964</v>
      </c>
    </row>
    <row r="32" spans="1:23">
      <c r="A32" s="1">
        <v>0.12948232323232323</v>
      </c>
      <c r="C32" s="1">
        <f t="shared" si="0"/>
        <v>3.3459595959595967E-3</v>
      </c>
      <c r="D32" s="1"/>
      <c r="H32" s="10">
        <v>0.10555555555555556</v>
      </c>
      <c r="I32" s="19">
        <v>8</v>
      </c>
      <c r="J32" s="1">
        <f t="shared" si="1"/>
        <v>1.1805555555555555E-2</v>
      </c>
      <c r="K32" s="1"/>
      <c r="N32" s="14"/>
      <c r="O32" s="17">
        <v>7.3749999999999938</v>
      </c>
      <c r="R32" s="17">
        <v>6.7499999999999964</v>
      </c>
    </row>
    <row r="33" spans="1:18">
      <c r="A33" s="1">
        <v>0.13282828282828282</v>
      </c>
      <c r="C33" s="1">
        <f t="shared" si="0"/>
        <v>3.3459595959595967E-3</v>
      </c>
      <c r="D33" s="1"/>
      <c r="H33" s="1">
        <v>0.11736111111111111</v>
      </c>
      <c r="J33" s="1">
        <f t="shared" si="1"/>
        <v>1.1805555555555569E-2</v>
      </c>
      <c r="K33" s="1"/>
      <c r="N33" s="14"/>
      <c r="O33" s="17">
        <v>7.3750000000000533</v>
      </c>
      <c r="R33" s="17">
        <v>6.7499999999999964</v>
      </c>
    </row>
    <row r="34" spans="1:18">
      <c r="A34" s="1">
        <v>0.13617424242424242</v>
      </c>
      <c r="C34" s="1">
        <f t="shared" si="0"/>
        <v>3.3459595959595967E-3</v>
      </c>
      <c r="D34" s="1"/>
      <c r="H34" s="10">
        <v>0.12916666666666668</v>
      </c>
      <c r="I34" s="19">
        <v>2</v>
      </c>
      <c r="J34" s="1">
        <f t="shared" si="1"/>
        <v>3.0934343434343425E-3</v>
      </c>
      <c r="K34" s="1"/>
      <c r="N34" s="14"/>
      <c r="O34" s="17">
        <v>12.499999999999996</v>
      </c>
      <c r="R34" s="17">
        <v>6.7499999999999964</v>
      </c>
    </row>
    <row r="35" spans="1:18">
      <c r="A35" s="1">
        <v>0.13952020202020202</v>
      </c>
      <c r="C35" s="1">
        <f t="shared" si="0"/>
        <v>3.3459595959595967E-3</v>
      </c>
      <c r="D35" s="1"/>
      <c r="H35" s="1">
        <v>0.13226010101010102</v>
      </c>
      <c r="J35" s="1">
        <f t="shared" si="1"/>
        <v>3.0934343434343425E-3</v>
      </c>
      <c r="K35" s="1"/>
      <c r="N35" s="14"/>
      <c r="O35" s="17">
        <v>12.499999999999996</v>
      </c>
      <c r="R35" s="17">
        <v>6.7499999999999964</v>
      </c>
    </row>
    <row r="36" spans="1:18">
      <c r="A36" s="1">
        <v>0.14286616161616161</v>
      </c>
      <c r="C36" s="1">
        <f t="shared" si="0"/>
        <v>3.3459595959595967E-3</v>
      </c>
      <c r="D36" s="1"/>
      <c r="H36" s="1">
        <v>0.13535353535353536</v>
      </c>
      <c r="J36" s="1">
        <f t="shared" si="1"/>
        <v>3.0934343434343425E-3</v>
      </c>
      <c r="K36" s="1"/>
      <c r="N36" s="14"/>
      <c r="O36" s="17">
        <v>4.8181818181818192</v>
      </c>
      <c r="R36" s="17">
        <v>6.7499999999999964</v>
      </c>
    </row>
    <row r="37" spans="1:18">
      <c r="A37" s="1">
        <v>0.14621212121212121</v>
      </c>
      <c r="C37" s="1">
        <f t="shared" si="0"/>
        <v>3.3459595959595967E-3</v>
      </c>
      <c r="D37" s="1"/>
      <c r="H37" s="1">
        <v>0.13844696969696971</v>
      </c>
      <c r="J37" s="1">
        <f t="shared" si="1"/>
        <v>3.0934343434343425E-3</v>
      </c>
      <c r="K37" s="1"/>
      <c r="N37" s="14"/>
      <c r="O37" s="17">
        <v>4.8181818181817988</v>
      </c>
      <c r="R37" s="17">
        <v>6.7499999999999964</v>
      </c>
    </row>
    <row r="38" spans="1:18">
      <c r="A38" s="1">
        <v>0.14955808080808081</v>
      </c>
      <c r="C38" s="1">
        <f t="shared" si="0"/>
        <v>3.3459595959595967E-3</v>
      </c>
      <c r="D38" s="1"/>
      <c r="H38" s="1">
        <v>0.14154040404040405</v>
      </c>
      <c r="J38" s="1">
        <f t="shared" si="1"/>
        <v>3.0934343434343425E-3</v>
      </c>
      <c r="K38" s="1"/>
      <c r="N38" s="14"/>
      <c r="O38" s="17">
        <v>4.8181818181818192</v>
      </c>
      <c r="R38" s="17">
        <v>6.7500000000000355</v>
      </c>
    </row>
    <row r="39" spans="1:18">
      <c r="A39" s="1">
        <v>0.1529040404040404</v>
      </c>
      <c r="C39" s="1">
        <f t="shared" si="0"/>
        <v>3.3459595959595967E-3</v>
      </c>
      <c r="D39" s="1"/>
      <c r="H39" s="1">
        <v>0.14463383838383839</v>
      </c>
      <c r="J39" s="1">
        <f t="shared" si="1"/>
        <v>3.0934343434343425E-3</v>
      </c>
      <c r="K39" s="1"/>
      <c r="N39" s="14"/>
      <c r="O39" s="17">
        <v>4.8181818181818192</v>
      </c>
      <c r="R39" s="17">
        <v>17</v>
      </c>
    </row>
    <row r="40" spans="1:18">
      <c r="A40" s="10">
        <v>0.15625</v>
      </c>
      <c r="B40" s="11">
        <v>11</v>
      </c>
      <c r="C40" s="1">
        <f t="shared" si="0"/>
        <v>4.6296296296296224E-3</v>
      </c>
      <c r="D40" s="1"/>
      <c r="H40" s="1">
        <v>0.14772727272727273</v>
      </c>
      <c r="J40" s="1">
        <f t="shared" si="1"/>
        <v>3.0934343434343425E-3</v>
      </c>
      <c r="K40" s="1"/>
      <c r="N40" s="14"/>
      <c r="O40" s="17">
        <v>4.8181818181818192</v>
      </c>
      <c r="R40" s="17">
        <v>17.000000000000021</v>
      </c>
    </row>
    <row r="41" spans="1:18">
      <c r="A41" s="1">
        <v>0.16087962962962962</v>
      </c>
      <c r="C41" s="1">
        <f t="shared" si="0"/>
        <v>4.6296296296296224E-3</v>
      </c>
      <c r="D41" s="1"/>
      <c r="H41" s="1">
        <v>0.15082070707070708</v>
      </c>
      <c r="J41" s="1">
        <f t="shared" si="1"/>
        <v>3.0934343434343425E-3</v>
      </c>
      <c r="K41" s="1"/>
      <c r="N41" s="14"/>
      <c r="O41" s="17">
        <v>4.8181818181818192</v>
      </c>
      <c r="R41" s="17">
        <v>4.4545454545454533</v>
      </c>
    </row>
    <row r="42" spans="1:18">
      <c r="A42" s="1">
        <v>0.16550925925925924</v>
      </c>
      <c r="C42" s="1">
        <f t="shared" si="0"/>
        <v>4.6296296296296224E-3</v>
      </c>
      <c r="D42" s="1"/>
      <c r="H42" s="1">
        <v>0.15391414141414142</v>
      </c>
      <c r="J42" s="1">
        <f t="shared" si="1"/>
        <v>3.0934343434343425E-3</v>
      </c>
      <c r="K42" s="1"/>
      <c r="N42" s="14"/>
      <c r="O42" s="17">
        <v>4.8181818181818192</v>
      </c>
      <c r="R42" s="17">
        <v>4.4545454545454533</v>
      </c>
    </row>
    <row r="43" spans="1:18">
      <c r="A43" s="10">
        <v>0.17013888888888887</v>
      </c>
      <c r="B43" s="11">
        <v>3</v>
      </c>
      <c r="C43" s="1">
        <f t="shared" si="0"/>
        <v>1.0416666666666685E-2</v>
      </c>
      <c r="D43" s="1"/>
      <c r="H43" s="1">
        <v>0.15700757575757576</v>
      </c>
      <c r="J43" s="1">
        <f t="shared" si="1"/>
        <v>3.0934343434343425E-3</v>
      </c>
      <c r="K43" s="1"/>
      <c r="N43" s="14"/>
      <c r="O43" s="17">
        <v>4.8181818181818192</v>
      </c>
      <c r="R43" s="17">
        <v>4.4545454545454533</v>
      </c>
    </row>
    <row r="44" spans="1:18">
      <c r="A44" s="1">
        <v>0.18055555555555555</v>
      </c>
      <c r="B44">
        <v>1</v>
      </c>
      <c r="C44" s="1">
        <f t="shared" si="0"/>
        <v>3.333333333333327E-3</v>
      </c>
      <c r="D44" s="1"/>
      <c r="H44" s="1">
        <v>0.1601010101010101</v>
      </c>
      <c r="J44" s="1">
        <f t="shared" si="1"/>
        <v>3.0934343434343425E-3</v>
      </c>
      <c r="K44" s="1"/>
      <c r="N44" s="14"/>
      <c r="O44" s="17">
        <v>4.8181818181818192</v>
      </c>
      <c r="R44" s="17">
        <v>4.4545454545454533</v>
      </c>
    </row>
    <row r="45" spans="1:18">
      <c r="A45" s="1">
        <v>0.18388888888888888</v>
      </c>
      <c r="C45" s="1">
        <f t="shared" si="0"/>
        <v>3.333333333333327E-3</v>
      </c>
      <c r="D45" s="1"/>
      <c r="H45" s="10">
        <v>0.16319444444444445</v>
      </c>
      <c r="I45" s="19">
        <v>11</v>
      </c>
      <c r="J45" s="1">
        <f t="shared" si="1"/>
        <v>4.398148148148151E-3</v>
      </c>
      <c r="K45" s="1"/>
      <c r="N45" s="14"/>
      <c r="O45" s="17">
        <v>4.8181818181818192</v>
      </c>
      <c r="R45" s="17">
        <v>4.4545454545454533</v>
      </c>
    </row>
    <row r="46" spans="1:18">
      <c r="A46" s="1">
        <v>0.18722222222222221</v>
      </c>
      <c r="C46" s="1">
        <f t="shared" si="0"/>
        <v>3.333333333333327E-3</v>
      </c>
      <c r="D46" s="1"/>
      <c r="H46" s="1">
        <v>0.1675925925925926</v>
      </c>
      <c r="J46" s="1">
        <f t="shared" si="1"/>
        <v>4.398148148148151E-3</v>
      </c>
      <c r="K46" s="1"/>
      <c r="N46" s="14"/>
      <c r="O46" s="17">
        <v>4.8181818181818192</v>
      </c>
      <c r="R46" s="17">
        <v>4.4545454545454533</v>
      </c>
    </row>
    <row r="47" spans="1:18">
      <c r="A47" s="1">
        <v>0.19055555555555553</v>
      </c>
      <c r="C47" s="1">
        <f t="shared" si="0"/>
        <v>3.333333333333327E-3</v>
      </c>
      <c r="D47" s="1"/>
      <c r="H47" s="1">
        <v>0.17199074074074075</v>
      </c>
      <c r="J47" s="1">
        <f t="shared" si="1"/>
        <v>4.398148148148151E-3</v>
      </c>
      <c r="K47" s="1"/>
      <c r="N47" s="14"/>
      <c r="O47" s="17">
        <v>6.6666666666666563</v>
      </c>
      <c r="R47" s="17">
        <v>4.4545454545454533</v>
      </c>
    </row>
    <row r="48" spans="1:18">
      <c r="A48" s="1">
        <v>0.19388888888888886</v>
      </c>
      <c r="C48" s="1">
        <f t="shared" si="0"/>
        <v>3.3333333333333548E-3</v>
      </c>
      <c r="D48" s="1"/>
      <c r="H48" s="10">
        <v>0.1763888888888889</v>
      </c>
      <c r="I48" s="19">
        <v>3</v>
      </c>
      <c r="J48" s="1">
        <f t="shared" si="1"/>
        <v>1.1111111111111099E-2</v>
      </c>
      <c r="K48" s="1"/>
      <c r="N48" s="14"/>
      <c r="O48" s="17">
        <v>6.6666666666666563</v>
      </c>
      <c r="R48" s="17">
        <v>4.4545454545454533</v>
      </c>
    </row>
    <row r="49" spans="1:18">
      <c r="A49" s="10">
        <v>0.19722222222222222</v>
      </c>
      <c r="B49" s="11">
        <v>5</v>
      </c>
      <c r="C49" s="1">
        <f t="shared" si="0"/>
        <v>3.5879629629629595E-3</v>
      </c>
      <c r="D49" s="1"/>
      <c r="H49" s="1">
        <v>0.1875</v>
      </c>
      <c r="I49" s="17">
        <v>1</v>
      </c>
      <c r="J49" s="1">
        <f t="shared" si="1"/>
        <v>4.1666666666666796E-3</v>
      </c>
      <c r="K49" s="1"/>
      <c r="N49" s="14"/>
      <c r="O49" s="17">
        <v>6.6666666666666563</v>
      </c>
      <c r="R49" s="17">
        <v>4.4545454545454533</v>
      </c>
    </row>
    <row r="50" spans="1:18">
      <c r="A50" s="1">
        <v>0.20081018518518517</v>
      </c>
      <c r="C50" s="1">
        <f t="shared" si="0"/>
        <v>3.5879629629629595E-3</v>
      </c>
      <c r="D50" s="1"/>
      <c r="H50" s="1">
        <v>0.19166666666666668</v>
      </c>
      <c r="J50" s="1">
        <f t="shared" si="1"/>
        <v>4.1666666666666796E-3</v>
      </c>
      <c r="K50" s="1"/>
      <c r="N50" s="14"/>
      <c r="O50" s="17">
        <v>15.000000000000027</v>
      </c>
      <c r="R50" s="17">
        <v>4.4545454545454533</v>
      </c>
    </row>
    <row r="51" spans="1:18">
      <c r="A51" s="1">
        <v>0.20439814814814813</v>
      </c>
      <c r="C51" s="1">
        <f t="shared" si="0"/>
        <v>3.5879629629629595E-3</v>
      </c>
      <c r="D51" s="1"/>
      <c r="H51" s="1">
        <v>0.19583333333333336</v>
      </c>
      <c r="J51" s="1">
        <f t="shared" si="1"/>
        <v>4.1666666666666796E-3</v>
      </c>
      <c r="K51" s="1"/>
      <c r="N51" s="14"/>
      <c r="O51" s="17">
        <v>4.7999999999999909</v>
      </c>
      <c r="R51" s="17">
        <v>4.4545454545454533</v>
      </c>
    </row>
    <row r="52" spans="1:18">
      <c r="A52" s="1">
        <v>0.20798611111111109</v>
      </c>
      <c r="C52" s="1">
        <f t="shared" si="0"/>
        <v>3.5879629629629595E-3</v>
      </c>
      <c r="D52" s="1"/>
      <c r="H52" s="1">
        <v>0.20000000000000004</v>
      </c>
      <c r="J52" s="1">
        <f t="shared" si="1"/>
        <v>4.1666666666666796E-3</v>
      </c>
      <c r="K52" s="1"/>
      <c r="N52" s="14"/>
      <c r="O52" s="17">
        <v>4.7999999999999909</v>
      </c>
      <c r="R52" s="17">
        <v>6.3333333333333375</v>
      </c>
    </row>
    <row r="53" spans="1:18">
      <c r="A53" s="1">
        <v>0.21157407407407405</v>
      </c>
      <c r="C53" s="1">
        <f t="shared" si="0"/>
        <v>3.5879629629629595E-3</v>
      </c>
      <c r="D53" s="1"/>
      <c r="H53" s="1">
        <v>0.20416666666666672</v>
      </c>
      <c r="J53" s="1">
        <f t="shared" si="1"/>
        <v>4.1666666666666241E-3</v>
      </c>
      <c r="K53" s="1"/>
      <c r="N53" s="14"/>
      <c r="O53" s="17">
        <v>4.7999999999999909</v>
      </c>
      <c r="R53" s="17">
        <v>6.3333333333333375</v>
      </c>
    </row>
    <row r="54" spans="1:18">
      <c r="A54" s="1">
        <v>0.21516203703703701</v>
      </c>
      <c r="C54" s="1">
        <f t="shared" si="0"/>
        <v>3.5879629629629872E-3</v>
      </c>
      <c r="D54" s="1"/>
      <c r="H54" s="10">
        <v>0.20833333333333334</v>
      </c>
      <c r="I54" s="19">
        <v>5</v>
      </c>
      <c r="J54" s="1">
        <f t="shared" si="1"/>
        <v>3.1249999999999889E-3</v>
      </c>
      <c r="K54" s="1"/>
      <c r="N54" s="14"/>
      <c r="O54" s="17">
        <v>4.7999999999999909</v>
      </c>
      <c r="R54" s="17">
        <v>6.3333333333333375</v>
      </c>
    </row>
    <row r="55" spans="1:18">
      <c r="A55" s="10">
        <v>0.21875</v>
      </c>
      <c r="B55" s="11">
        <v>6</v>
      </c>
      <c r="C55" s="1">
        <f t="shared" si="0"/>
        <v>4.1666666666666796E-3</v>
      </c>
      <c r="D55" s="1"/>
      <c r="H55" s="1">
        <v>0.21145833333333333</v>
      </c>
      <c r="J55" s="1">
        <f t="shared" si="1"/>
        <v>3.1249999999999889E-3</v>
      </c>
      <c r="K55" s="1"/>
      <c r="N55" s="14"/>
      <c r="O55" s="17">
        <v>4.8000000000000309</v>
      </c>
      <c r="R55" s="17">
        <v>15.999999999999982</v>
      </c>
    </row>
    <row r="56" spans="1:18">
      <c r="A56" s="1">
        <v>0.22291666666666668</v>
      </c>
      <c r="C56" s="1">
        <f t="shared" si="0"/>
        <v>4.1666666666666796E-3</v>
      </c>
      <c r="D56" s="1"/>
      <c r="H56" s="1">
        <v>0.21458333333333332</v>
      </c>
      <c r="J56" s="1">
        <f t="shared" si="1"/>
        <v>3.1249999999999889E-3</v>
      </c>
      <c r="K56" s="1"/>
      <c r="N56" s="14"/>
      <c r="O56" s="17">
        <v>5.1666666666666616</v>
      </c>
      <c r="R56" s="17">
        <v>6.0000000000000187</v>
      </c>
    </row>
    <row r="57" spans="1:18">
      <c r="A57" s="1">
        <v>0.22708333333333336</v>
      </c>
      <c r="C57" s="1">
        <f t="shared" si="0"/>
        <v>4.1666666666666796E-3</v>
      </c>
      <c r="D57" s="1"/>
      <c r="H57" s="1">
        <v>0.21770833333333331</v>
      </c>
      <c r="J57" s="1">
        <f t="shared" si="1"/>
        <v>3.1249999999999889E-3</v>
      </c>
      <c r="K57" s="1"/>
      <c r="N57" s="14"/>
      <c r="O57" s="17">
        <v>5.1666666666666616</v>
      </c>
      <c r="R57" s="17">
        <v>6.0000000000000187</v>
      </c>
    </row>
    <row r="58" spans="1:18">
      <c r="A58" s="1">
        <v>0.23125000000000004</v>
      </c>
      <c r="C58" s="1">
        <f t="shared" si="0"/>
        <v>4.1666666666666796E-3</v>
      </c>
      <c r="D58" s="1"/>
      <c r="H58" s="1">
        <v>0.2208333333333333</v>
      </c>
      <c r="J58" s="1">
        <f t="shared" si="1"/>
        <v>3.1249999999999889E-3</v>
      </c>
      <c r="K58" s="1"/>
      <c r="N58" s="14"/>
      <c r="O58" s="17">
        <v>5.1666666666666616</v>
      </c>
      <c r="R58" s="17">
        <v>6.0000000000000187</v>
      </c>
    </row>
    <row r="59" spans="1:18">
      <c r="A59" s="1">
        <v>0.23541666666666672</v>
      </c>
      <c r="C59" s="1">
        <f t="shared" si="0"/>
        <v>4.1666666666666241E-3</v>
      </c>
      <c r="D59" s="1"/>
      <c r="H59" s="1">
        <v>0.22395833333333329</v>
      </c>
      <c r="J59" s="1">
        <f t="shared" si="1"/>
        <v>3.1250000000000444E-3</v>
      </c>
      <c r="K59" s="1"/>
      <c r="N59" s="14"/>
      <c r="O59" s="17">
        <v>5.1666666666666616</v>
      </c>
      <c r="R59" s="17">
        <v>6.0000000000000187</v>
      </c>
    </row>
    <row r="60" spans="1:18">
      <c r="A60" s="10">
        <v>0.23958333333333334</v>
      </c>
      <c r="B60" s="11">
        <v>5</v>
      </c>
      <c r="C60" s="1">
        <f t="shared" si="0"/>
        <v>4.6296296296296224E-3</v>
      </c>
      <c r="D60" s="1"/>
      <c r="H60" s="10">
        <v>0.22708333333333333</v>
      </c>
      <c r="I60" s="19">
        <v>6</v>
      </c>
      <c r="J60" s="1">
        <f t="shared" si="1"/>
        <v>4.5833333333333282E-3</v>
      </c>
      <c r="K60" s="1"/>
      <c r="N60" s="14"/>
      <c r="O60" s="17">
        <v>5.1666666666666616</v>
      </c>
      <c r="R60" s="17">
        <v>5.9999999999999387</v>
      </c>
    </row>
    <row r="61" spans="1:18">
      <c r="A61" s="1">
        <v>0.24421296296296297</v>
      </c>
      <c r="C61" s="1">
        <f t="shared" si="0"/>
        <v>4.6296296296296224E-3</v>
      </c>
      <c r="D61" s="1"/>
      <c r="H61" s="1">
        <v>0.23166666666666666</v>
      </c>
      <c r="J61" s="1">
        <f t="shared" si="1"/>
        <v>4.5833333333333282E-3</v>
      </c>
      <c r="K61" s="1"/>
      <c r="N61" s="14"/>
      <c r="O61" s="17">
        <v>5.1666666666667016</v>
      </c>
      <c r="R61" s="17">
        <v>4.499999999999984</v>
      </c>
    </row>
    <row r="62" spans="1:18">
      <c r="A62" s="1">
        <v>0.24884259259259259</v>
      </c>
      <c r="C62" s="1">
        <f t="shared" si="0"/>
        <v>4.6296296296296224E-3</v>
      </c>
      <c r="D62" s="1"/>
      <c r="H62" s="1">
        <v>0.23624999999999999</v>
      </c>
      <c r="J62" s="1">
        <f t="shared" si="1"/>
        <v>4.5833333333333282E-3</v>
      </c>
      <c r="K62" s="1"/>
      <c r="N62" s="14"/>
      <c r="O62" s="17">
        <v>6.0000000000000187</v>
      </c>
      <c r="R62" s="17">
        <v>4.499999999999984</v>
      </c>
    </row>
    <row r="63" spans="1:18">
      <c r="A63" s="10">
        <v>0.25347222222222221</v>
      </c>
      <c r="B63" s="11">
        <v>3</v>
      </c>
      <c r="C63" s="1">
        <f t="shared" si="0"/>
        <v>6.481481481481477E-3</v>
      </c>
      <c r="D63" s="1"/>
      <c r="H63" s="1">
        <v>0.24083333333333332</v>
      </c>
      <c r="J63" s="1">
        <f t="shared" si="1"/>
        <v>4.5833333333333282E-3</v>
      </c>
      <c r="K63" s="1"/>
      <c r="N63" s="14"/>
      <c r="O63" s="17">
        <v>6.0000000000000187</v>
      </c>
      <c r="R63" s="17">
        <v>4.499999999999984</v>
      </c>
    </row>
    <row r="64" spans="1:18">
      <c r="A64" s="1">
        <v>0.25995370370370369</v>
      </c>
      <c r="C64" s="1">
        <f t="shared" si="0"/>
        <v>6.481481481481477E-3</v>
      </c>
      <c r="D64" s="1"/>
      <c r="H64" s="1">
        <v>0.24541666666666664</v>
      </c>
      <c r="J64" s="1">
        <f t="shared" si="1"/>
        <v>4.5833333333333559E-3</v>
      </c>
      <c r="K64" s="1"/>
      <c r="N64" s="14"/>
      <c r="O64" s="17">
        <v>6.0000000000000187</v>
      </c>
      <c r="R64" s="17">
        <v>4.499999999999984</v>
      </c>
    </row>
    <row r="65" spans="1:18">
      <c r="A65" s="1">
        <v>0.26643518518518516</v>
      </c>
      <c r="C65" s="1">
        <f t="shared" si="0"/>
        <v>6.481481481481477E-3</v>
      </c>
      <c r="D65" s="1"/>
      <c r="H65" s="10">
        <v>0.25</v>
      </c>
      <c r="I65" s="19">
        <v>5</v>
      </c>
      <c r="J65" s="1">
        <f t="shared" si="1"/>
        <v>5.787037037037035E-3</v>
      </c>
      <c r="K65" s="1"/>
      <c r="N65" s="14"/>
      <c r="O65" s="17">
        <v>6.0000000000000187</v>
      </c>
      <c r="R65" s="17">
        <v>4.499999999999984</v>
      </c>
    </row>
    <row r="66" spans="1:18">
      <c r="A66" s="10">
        <v>0.27291666666666664</v>
      </c>
      <c r="B66" s="11">
        <v>3</v>
      </c>
      <c r="C66" s="1">
        <f t="shared" si="0"/>
        <v>1.1805555555555569E-2</v>
      </c>
      <c r="D66" s="1"/>
      <c r="H66" s="1">
        <v>0.25578703703703703</v>
      </c>
      <c r="J66" s="1">
        <f t="shared" si="1"/>
        <v>5.787037037037035E-3</v>
      </c>
      <c r="K66" s="1"/>
      <c r="N66" s="14"/>
      <c r="O66" s="17">
        <v>5.9999999999999387</v>
      </c>
      <c r="R66" s="17">
        <v>4.5000000000000639</v>
      </c>
    </row>
    <row r="67" spans="1:18">
      <c r="A67" s="1">
        <v>0.28472222222222221</v>
      </c>
      <c r="B67">
        <v>1</v>
      </c>
      <c r="C67" s="1">
        <f t="shared" si="0"/>
        <v>8.5648148148148029E-3</v>
      </c>
      <c r="D67" s="1"/>
      <c r="H67" s="1">
        <v>0.26157407407407407</v>
      </c>
      <c r="J67" s="1">
        <f t="shared" si="1"/>
        <v>5.787037037037035E-3</v>
      </c>
      <c r="K67" s="1"/>
      <c r="N67" s="14"/>
      <c r="O67" s="17">
        <v>6.6666666666666563</v>
      </c>
      <c r="R67" s="17">
        <v>6.5999999999999925</v>
      </c>
    </row>
    <row r="68" spans="1:18">
      <c r="A68" s="1">
        <v>0.29328703703703701</v>
      </c>
      <c r="C68" s="1">
        <f t="shared" si="0"/>
        <v>8.5648148148148029E-3</v>
      </c>
      <c r="D68" s="1"/>
      <c r="H68" s="10">
        <v>0.2673611111111111</v>
      </c>
      <c r="I68" s="19">
        <v>3</v>
      </c>
      <c r="J68" s="1">
        <f t="shared" si="1"/>
        <v>4.398148148148151E-3</v>
      </c>
      <c r="K68" s="1"/>
      <c r="N68" s="14"/>
      <c r="O68" s="17">
        <v>6.6666666666666563</v>
      </c>
      <c r="R68" s="17">
        <v>6.5999999999999925</v>
      </c>
    </row>
    <row r="69" spans="1:18">
      <c r="A69" s="1">
        <v>0.30185185185185182</v>
      </c>
      <c r="C69" s="1">
        <f t="shared" si="0"/>
        <v>8.5648148148148584E-3</v>
      </c>
      <c r="D69" s="1"/>
      <c r="H69" s="1">
        <v>0.27175925925925926</v>
      </c>
      <c r="J69" s="1">
        <f t="shared" si="1"/>
        <v>4.398148148148151E-3</v>
      </c>
      <c r="K69" s="1"/>
      <c r="N69" s="14"/>
      <c r="O69" s="17">
        <v>6.6666666666666563</v>
      </c>
      <c r="R69" s="17">
        <v>6.5999999999999925</v>
      </c>
    </row>
    <row r="70" spans="1:18">
      <c r="A70" s="10">
        <v>0.31041666666666667</v>
      </c>
      <c r="B70" s="11">
        <v>3</v>
      </c>
      <c r="C70" s="1">
        <f t="shared" si="0"/>
        <v>6.0185185185185341E-3</v>
      </c>
      <c r="D70" s="1"/>
      <c r="H70" s="1">
        <v>0.27615740740740741</v>
      </c>
      <c r="J70" s="1">
        <f t="shared" si="1"/>
        <v>4.398148148148151E-3</v>
      </c>
      <c r="K70" s="1"/>
      <c r="N70" s="14"/>
      <c r="O70" s="17">
        <v>9.3333333333333268</v>
      </c>
      <c r="R70" s="17">
        <v>6.5999999999999925</v>
      </c>
    </row>
    <row r="71" spans="1:18">
      <c r="A71" s="1">
        <v>0.31643518518518521</v>
      </c>
      <c r="C71" s="1">
        <f t="shared" si="0"/>
        <v>6.0185185185185341E-3</v>
      </c>
      <c r="D71" s="1"/>
      <c r="H71" s="10">
        <v>0.28055555555555556</v>
      </c>
      <c r="I71" s="19">
        <v>3</v>
      </c>
      <c r="J71" s="1">
        <f t="shared" si="1"/>
        <v>7.6388888888889173E-3</v>
      </c>
      <c r="K71" s="1"/>
      <c r="N71" s="14"/>
      <c r="O71" s="17">
        <v>9.3333333333333268</v>
      </c>
      <c r="R71" s="17">
        <v>6.6000000000000325</v>
      </c>
    </row>
    <row r="72" spans="1:18">
      <c r="A72" s="1">
        <v>0.32245370370370374</v>
      </c>
      <c r="C72" s="1">
        <f t="shared" ref="C72:C134" si="2">A73-A72</f>
        <v>6.0185185185184786E-3</v>
      </c>
      <c r="D72" s="1"/>
      <c r="H72" s="1">
        <v>0.28819444444444448</v>
      </c>
      <c r="I72" s="17">
        <v>1</v>
      </c>
      <c r="J72" s="1">
        <f t="shared" ref="J72:J135" si="3">H73-H72</f>
        <v>8.7962962962963021E-3</v>
      </c>
      <c r="K72" s="1"/>
      <c r="N72" s="14"/>
      <c r="O72" s="17">
        <v>9.3333333333333268</v>
      </c>
      <c r="R72" s="17">
        <v>8.3333333333333304</v>
      </c>
    </row>
    <row r="73" spans="1:18">
      <c r="A73" s="10">
        <v>0.32847222222222222</v>
      </c>
      <c r="B73" s="11">
        <v>3</v>
      </c>
      <c r="C73" s="1">
        <f t="shared" si="2"/>
        <v>3.4090909090909172E-3</v>
      </c>
      <c r="D73" s="1"/>
      <c r="H73" s="1">
        <v>0.29699074074074078</v>
      </c>
      <c r="J73" s="1">
        <f t="shared" si="3"/>
        <v>8.7962962962963021E-3</v>
      </c>
      <c r="K73" s="1"/>
      <c r="N73" s="14"/>
      <c r="O73" s="17">
        <v>17.000000000000021</v>
      </c>
      <c r="R73" s="17">
        <v>8.3333333333333304</v>
      </c>
    </row>
    <row r="74" spans="1:18">
      <c r="A74" s="1">
        <v>0.33188131313131314</v>
      </c>
      <c r="C74" s="1">
        <f t="shared" si="2"/>
        <v>3.4090909090909172E-3</v>
      </c>
      <c r="D74" s="1"/>
      <c r="H74" s="1">
        <v>0.30578703703703708</v>
      </c>
      <c r="J74" s="1">
        <f t="shared" si="3"/>
        <v>8.7962962962962465E-3</v>
      </c>
      <c r="K74" s="1"/>
      <c r="N74" s="14"/>
      <c r="O74" s="17">
        <v>12.333333333333316</v>
      </c>
      <c r="R74" s="17">
        <v>8.3333333333333304</v>
      </c>
    </row>
    <row r="75" spans="1:18">
      <c r="A75" s="1">
        <v>0.33529040404040406</v>
      </c>
      <c r="C75" s="1">
        <f t="shared" si="2"/>
        <v>3.4090909090909172E-3</v>
      </c>
      <c r="D75" s="1"/>
      <c r="H75" s="10">
        <v>0.31458333333333333</v>
      </c>
      <c r="I75" s="19">
        <v>3</v>
      </c>
      <c r="J75" s="1">
        <f t="shared" si="3"/>
        <v>7.4074074074074181E-3</v>
      </c>
      <c r="K75" s="1"/>
      <c r="N75" s="14"/>
      <c r="O75" s="17">
        <v>12.333333333333316</v>
      </c>
      <c r="R75" s="17">
        <v>6.3333333333333375</v>
      </c>
    </row>
    <row r="76" spans="1:18">
      <c r="A76" s="1">
        <v>0.33869949494949497</v>
      </c>
      <c r="C76" s="1">
        <f t="shared" si="2"/>
        <v>3.4090909090909172E-3</v>
      </c>
      <c r="D76" s="1"/>
      <c r="H76" s="1">
        <v>0.32199074074074074</v>
      </c>
      <c r="J76" s="1">
        <f t="shared" si="3"/>
        <v>7.4074074074074181E-3</v>
      </c>
      <c r="K76" s="1"/>
      <c r="N76" s="14"/>
      <c r="O76" s="17">
        <v>12.333333333333396</v>
      </c>
      <c r="R76" s="17">
        <v>6.3333333333333375</v>
      </c>
    </row>
    <row r="77" spans="1:18">
      <c r="A77" s="1">
        <v>0.34210858585858589</v>
      </c>
      <c r="C77" s="1">
        <f t="shared" si="2"/>
        <v>3.4090909090909172E-3</v>
      </c>
      <c r="D77" s="1"/>
      <c r="H77" s="1">
        <v>0.32939814814814816</v>
      </c>
      <c r="J77" s="1">
        <f t="shared" si="3"/>
        <v>7.4074074074074181E-3</v>
      </c>
      <c r="K77" s="1"/>
      <c r="N77" s="14"/>
      <c r="O77" s="17">
        <v>8.6666666666666892</v>
      </c>
      <c r="R77" s="17">
        <v>6.3333333333333375</v>
      </c>
    </row>
    <row r="78" spans="1:18">
      <c r="A78" s="1">
        <v>0.34551767676767681</v>
      </c>
      <c r="C78" s="1">
        <f t="shared" si="2"/>
        <v>3.4090909090909172E-3</v>
      </c>
      <c r="D78" s="1"/>
      <c r="H78" s="10">
        <v>0.33680555555555558</v>
      </c>
      <c r="I78" s="19">
        <v>3</v>
      </c>
      <c r="J78" s="1">
        <f t="shared" si="3"/>
        <v>3.4722222222222099E-3</v>
      </c>
      <c r="K78" s="1"/>
      <c r="N78" s="14"/>
      <c r="O78" s="17">
        <v>8.6666666666666892</v>
      </c>
      <c r="R78" s="17">
        <v>11.000000000000041</v>
      </c>
    </row>
    <row r="79" spans="1:18">
      <c r="A79" s="1">
        <v>0.34892676767676772</v>
      </c>
      <c r="C79" s="1">
        <f t="shared" si="2"/>
        <v>3.4090909090909172E-3</v>
      </c>
      <c r="D79" s="1"/>
      <c r="H79" s="1">
        <v>0.34027777777777779</v>
      </c>
      <c r="J79" s="1">
        <f t="shared" si="3"/>
        <v>3.4722222222222099E-3</v>
      </c>
      <c r="K79" s="1"/>
      <c r="N79" s="14"/>
      <c r="O79" s="17">
        <v>8.6666666666666092</v>
      </c>
      <c r="R79" s="17">
        <v>12.666666666666675</v>
      </c>
    </row>
    <row r="80" spans="1:18">
      <c r="A80" s="1">
        <v>0.35233585858585864</v>
      </c>
      <c r="C80" s="1">
        <f t="shared" si="2"/>
        <v>3.4090909090909172E-3</v>
      </c>
      <c r="D80" s="1"/>
      <c r="H80" s="1">
        <v>0.34375</v>
      </c>
      <c r="J80" s="1">
        <f t="shared" si="3"/>
        <v>3.4722222222222099E-3</v>
      </c>
      <c r="K80" s="1"/>
      <c r="N80" s="14"/>
      <c r="O80" s="17">
        <v>4.9090909090909207</v>
      </c>
      <c r="R80" s="17">
        <v>12.666666666666675</v>
      </c>
    </row>
    <row r="81" spans="1:18">
      <c r="A81" s="1">
        <v>0.35574494949494956</v>
      </c>
      <c r="C81" s="1">
        <f t="shared" si="2"/>
        <v>3.4090909090909172E-3</v>
      </c>
      <c r="D81" s="1"/>
      <c r="H81" s="1">
        <v>0.34722222222222221</v>
      </c>
      <c r="J81" s="1">
        <f t="shared" si="3"/>
        <v>3.4722222222222099E-3</v>
      </c>
      <c r="K81" s="1"/>
      <c r="N81" s="14"/>
      <c r="O81" s="17">
        <v>4.9090909090909207</v>
      </c>
      <c r="R81" s="17">
        <v>12.666666666666595</v>
      </c>
    </row>
    <row r="82" spans="1:18">
      <c r="A82" s="1">
        <v>0.35915404040404048</v>
      </c>
      <c r="C82" s="1">
        <f t="shared" si="2"/>
        <v>3.4090909090909172E-3</v>
      </c>
      <c r="D82" s="1"/>
      <c r="H82" s="1">
        <v>0.35069444444444442</v>
      </c>
      <c r="J82" s="1">
        <f t="shared" si="3"/>
        <v>3.4722222222222099E-3</v>
      </c>
      <c r="K82" s="1"/>
      <c r="N82" s="14"/>
      <c r="O82" s="17">
        <v>4.9090909090909207</v>
      </c>
      <c r="R82" s="17">
        <v>10.666666666666682</v>
      </c>
    </row>
    <row r="83" spans="1:18">
      <c r="A83" s="1">
        <v>0.36256313131313139</v>
      </c>
      <c r="C83" s="1">
        <f t="shared" si="2"/>
        <v>3.4090909090908061E-3</v>
      </c>
      <c r="D83" s="1"/>
      <c r="H83" s="1">
        <v>0.35416666666666663</v>
      </c>
      <c r="J83" s="1">
        <f t="shared" si="3"/>
        <v>3.4722222222222099E-3</v>
      </c>
      <c r="K83" s="1"/>
      <c r="N83" s="14"/>
      <c r="O83" s="17">
        <v>4.9090909090909207</v>
      </c>
      <c r="R83" s="17">
        <v>10.666666666666682</v>
      </c>
    </row>
    <row r="84" spans="1:18">
      <c r="A84" s="10">
        <v>0.3659722222222222</v>
      </c>
      <c r="B84" s="11">
        <v>11</v>
      </c>
      <c r="C84" s="1">
        <f t="shared" si="2"/>
        <v>1.3194444444444453E-2</v>
      </c>
      <c r="D84" s="1"/>
      <c r="H84" s="1">
        <v>0.35763888888888884</v>
      </c>
      <c r="J84" s="1">
        <f t="shared" si="3"/>
        <v>3.4722222222222099E-3</v>
      </c>
      <c r="K84" s="1"/>
      <c r="N84" s="14"/>
      <c r="O84" s="17">
        <v>4.9090909090909207</v>
      </c>
      <c r="R84" s="17">
        <v>10.666666666666682</v>
      </c>
    </row>
    <row r="85" spans="1:18">
      <c r="A85" s="1">
        <v>0.37916666666666665</v>
      </c>
      <c r="B85">
        <v>1</v>
      </c>
      <c r="C85" s="1">
        <f t="shared" si="2"/>
        <v>6.9444444444444198E-3</v>
      </c>
      <c r="D85" s="1"/>
      <c r="H85" s="1">
        <v>0.36111111111111105</v>
      </c>
      <c r="J85" s="1">
        <f t="shared" si="3"/>
        <v>3.4722222222222099E-3</v>
      </c>
      <c r="K85" s="1"/>
      <c r="N85" s="14"/>
      <c r="O85" s="17">
        <v>4.9090909090909207</v>
      </c>
      <c r="R85" s="17">
        <v>4.9999999999999822</v>
      </c>
    </row>
    <row r="86" spans="1:18">
      <c r="A86" s="1">
        <v>0.38611111111111107</v>
      </c>
      <c r="C86" s="1">
        <f t="shared" si="2"/>
        <v>6.9444444444444753E-3</v>
      </c>
      <c r="D86" s="1"/>
      <c r="H86" s="1">
        <v>0.36458333333333326</v>
      </c>
      <c r="J86" s="1">
        <f t="shared" si="3"/>
        <v>3.4722222222222099E-3</v>
      </c>
      <c r="K86" s="1"/>
      <c r="N86" s="14"/>
      <c r="O86" s="17">
        <v>4.9090909090909207</v>
      </c>
      <c r="R86" s="17">
        <v>4.9999999999999822</v>
      </c>
    </row>
    <row r="87" spans="1:18">
      <c r="A87" s="10">
        <v>0.39305555555555555</v>
      </c>
      <c r="B87" s="11">
        <v>2</v>
      </c>
      <c r="C87" s="1">
        <f t="shared" si="2"/>
        <v>8.1944444444444486E-3</v>
      </c>
      <c r="D87" s="1"/>
      <c r="H87" s="1">
        <v>0.36805555555555547</v>
      </c>
      <c r="J87" s="1">
        <f t="shared" si="3"/>
        <v>3.4722222222222099E-3</v>
      </c>
      <c r="K87" s="1"/>
      <c r="N87" s="14"/>
      <c r="O87" s="17">
        <v>4.9090909090909207</v>
      </c>
      <c r="R87" s="17">
        <v>4.9999999999999822</v>
      </c>
    </row>
    <row r="88" spans="1:18">
      <c r="A88" s="1">
        <v>0.40125</v>
      </c>
      <c r="C88" s="1">
        <f t="shared" si="2"/>
        <v>8.1944444444444486E-3</v>
      </c>
      <c r="H88" s="1">
        <v>0.37152777777777768</v>
      </c>
      <c r="J88" s="1">
        <f t="shared" si="3"/>
        <v>3.4722222222223209E-3</v>
      </c>
      <c r="K88" s="1"/>
      <c r="N88" s="14"/>
      <c r="O88" s="17">
        <v>4.9090909090909207</v>
      </c>
      <c r="R88" s="17">
        <v>4.9999999999999822</v>
      </c>
    </row>
    <row r="89" spans="1:18">
      <c r="A89" s="1">
        <v>0.40944444444444444</v>
      </c>
      <c r="C89" s="1">
        <f t="shared" si="2"/>
        <v>8.1944444444444486E-3</v>
      </c>
      <c r="D89" s="1"/>
      <c r="H89" s="10">
        <v>0.375</v>
      </c>
      <c r="I89" s="19">
        <v>11</v>
      </c>
      <c r="J89" s="1">
        <f t="shared" si="3"/>
        <v>7.6388888888889173E-3</v>
      </c>
      <c r="K89" s="1"/>
      <c r="N89" s="14"/>
      <c r="O89" s="17">
        <v>4.9090909090909207</v>
      </c>
      <c r="R89" s="17">
        <v>4.9999999999999822</v>
      </c>
    </row>
    <row r="90" spans="1:18">
      <c r="A90" s="1">
        <v>0.41763888888888889</v>
      </c>
      <c r="C90" s="1">
        <f t="shared" si="2"/>
        <v>8.1944444444444486E-3</v>
      </c>
      <c r="D90" s="1"/>
      <c r="H90" s="1">
        <v>0.38263888888888892</v>
      </c>
      <c r="I90" s="17">
        <v>1</v>
      </c>
      <c r="J90" s="1">
        <f t="shared" si="3"/>
        <v>7.9861111111110827E-3</v>
      </c>
      <c r="K90" s="1"/>
      <c r="N90" s="14"/>
      <c r="O90" s="17">
        <v>4.9090909090907608</v>
      </c>
      <c r="R90" s="17">
        <v>4.9999999999999822</v>
      </c>
    </row>
    <row r="91" spans="1:18">
      <c r="A91" s="1">
        <v>0.42583333333333334</v>
      </c>
      <c r="C91" s="1">
        <f t="shared" si="2"/>
        <v>8.1944444444443931E-3</v>
      </c>
      <c r="D91" s="1"/>
      <c r="H91" s="1">
        <v>0.390625</v>
      </c>
      <c r="J91" s="1">
        <f t="shared" si="3"/>
        <v>7.9861111111110827E-3</v>
      </c>
      <c r="K91" s="1"/>
      <c r="N91" s="14"/>
      <c r="O91" s="17">
        <v>19.000000000000014</v>
      </c>
      <c r="R91" s="17">
        <v>4.9999999999999822</v>
      </c>
    </row>
    <row r="92" spans="1:18">
      <c r="A92" s="10">
        <v>0.43402777777777773</v>
      </c>
      <c r="B92" s="11">
        <v>5</v>
      </c>
      <c r="C92" s="1">
        <f t="shared" si="2"/>
        <v>2.3504273504273421E-3</v>
      </c>
      <c r="D92" s="1"/>
      <c r="H92" s="10">
        <v>0.39861111111111108</v>
      </c>
      <c r="I92" s="19">
        <v>2</v>
      </c>
      <c r="J92" s="1">
        <f t="shared" si="3"/>
        <v>8.1944444444444486E-3</v>
      </c>
      <c r="N92" s="14"/>
      <c r="O92" s="17">
        <v>9.9999999999999645</v>
      </c>
      <c r="R92" s="17">
        <v>4.9999999999999822</v>
      </c>
    </row>
    <row r="93" spans="1:18">
      <c r="A93" s="1">
        <v>0.43637820512820508</v>
      </c>
      <c r="C93" s="1">
        <f t="shared" si="2"/>
        <v>2.3504273504273421E-3</v>
      </c>
      <c r="D93" s="1"/>
      <c r="H93" s="1">
        <v>0.40680555555555553</v>
      </c>
      <c r="J93" s="1">
        <f t="shared" si="3"/>
        <v>8.1944444444444486E-3</v>
      </c>
      <c r="K93" s="1"/>
      <c r="N93" s="14"/>
      <c r="O93" s="17">
        <v>10.000000000000044</v>
      </c>
      <c r="R93" s="17">
        <v>4.9999999999999822</v>
      </c>
    </row>
    <row r="94" spans="1:18">
      <c r="A94" s="1">
        <v>0.43872863247863242</v>
      </c>
      <c r="C94" s="1">
        <f t="shared" si="2"/>
        <v>2.3504273504273421E-3</v>
      </c>
      <c r="D94" s="1"/>
      <c r="H94" s="1">
        <v>0.41499999999999998</v>
      </c>
      <c r="J94" s="1">
        <f t="shared" si="3"/>
        <v>8.1944444444444486E-3</v>
      </c>
      <c r="K94" s="1"/>
      <c r="N94" s="14"/>
      <c r="O94" s="17">
        <v>11.800000000000006</v>
      </c>
      <c r="R94" s="17">
        <v>4.9999999999999822</v>
      </c>
    </row>
    <row r="95" spans="1:18">
      <c r="A95" s="1">
        <v>0.44107905982905976</v>
      </c>
      <c r="C95" s="1">
        <f t="shared" si="2"/>
        <v>2.3504273504273421E-3</v>
      </c>
      <c r="D95" s="1"/>
      <c r="H95" s="1">
        <v>0.42319444444444443</v>
      </c>
      <c r="J95" s="1">
        <f t="shared" si="3"/>
        <v>8.1944444444444486E-3</v>
      </c>
      <c r="K95" s="1"/>
      <c r="N95" s="14"/>
      <c r="O95" s="17">
        <v>11.800000000000006</v>
      </c>
      <c r="R95" s="17">
        <v>5.0000000000001421</v>
      </c>
    </row>
    <row r="96" spans="1:18">
      <c r="A96" s="1">
        <v>0.4434294871794871</v>
      </c>
      <c r="C96" s="1">
        <f t="shared" si="2"/>
        <v>2.3504273504273421E-3</v>
      </c>
      <c r="D96" s="1"/>
      <c r="H96" s="1">
        <v>0.43138888888888888</v>
      </c>
      <c r="J96" s="1">
        <f t="shared" si="3"/>
        <v>8.1944444444445041E-3</v>
      </c>
      <c r="K96" s="1"/>
      <c r="N96" s="14"/>
      <c r="O96" s="17">
        <v>11.800000000000006</v>
      </c>
      <c r="R96" s="17">
        <v>11.000000000000041</v>
      </c>
    </row>
    <row r="97" spans="1:18">
      <c r="A97" s="1">
        <v>0.44577991452991444</v>
      </c>
      <c r="C97" s="1">
        <f t="shared" si="2"/>
        <v>2.3504273504273421E-3</v>
      </c>
      <c r="D97" s="1"/>
      <c r="H97" s="10">
        <v>0.43958333333333338</v>
      </c>
      <c r="I97" s="19">
        <v>5</v>
      </c>
      <c r="J97" s="1">
        <f t="shared" si="3"/>
        <v>3.3119658119658002E-3</v>
      </c>
      <c r="K97" s="1"/>
      <c r="N97" s="14"/>
      <c r="O97" s="17">
        <v>11.800000000000006</v>
      </c>
      <c r="R97" s="17">
        <v>11.499999999999959</v>
      </c>
    </row>
    <row r="98" spans="1:18">
      <c r="A98" s="1">
        <v>0.44813034188034179</v>
      </c>
      <c r="C98" s="1">
        <f t="shared" si="2"/>
        <v>2.3504273504273421E-3</v>
      </c>
      <c r="D98" s="1"/>
      <c r="H98" s="1">
        <v>0.44289529914529918</v>
      </c>
      <c r="J98" s="1">
        <f t="shared" si="3"/>
        <v>3.3119658119658002E-3</v>
      </c>
      <c r="K98" s="1"/>
      <c r="N98" s="14"/>
      <c r="O98" s="17">
        <v>11.799999999999926</v>
      </c>
      <c r="R98" s="17">
        <v>11.499999999999959</v>
      </c>
    </row>
    <row r="99" spans="1:18">
      <c r="A99" s="1">
        <v>0.45048076923076913</v>
      </c>
      <c r="C99" s="1">
        <f t="shared" si="2"/>
        <v>2.3504273504273421E-3</v>
      </c>
      <c r="D99" s="1"/>
      <c r="H99" s="1">
        <v>0.44620726495726498</v>
      </c>
      <c r="J99" s="1">
        <f t="shared" si="3"/>
        <v>3.3119658119658002E-3</v>
      </c>
      <c r="K99" s="1"/>
      <c r="N99" s="14"/>
      <c r="O99" s="17">
        <v>3.3846153846153726</v>
      </c>
      <c r="R99" s="17">
        <v>11.800000000000006</v>
      </c>
    </row>
    <row r="100" spans="1:18">
      <c r="A100" s="1">
        <v>0.45283119658119647</v>
      </c>
      <c r="C100" s="1">
        <f t="shared" si="2"/>
        <v>2.3504273504273421E-3</v>
      </c>
      <c r="D100" s="1"/>
      <c r="H100" s="1">
        <v>0.44951923076923078</v>
      </c>
      <c r="J100" s="1">
        <f t="shared" si="3"/>
        <v>3.3119658119658002E-3</v>
      </c>
      <c r="K100" s="1"/>
      <c r="N100" s="14"/>
      <c r="O100" s="17">
        <v>3.3846153846153726</v>
      </c>
      <c r="R100" s="17">
        <v>11.800000000000006</v>
      </c>
    </row>
    <row r="101" spans="1:18">
      <c r="A101" s="1">
        <v>0.45518162393162381</v>
      </c>
      <c r="C101" s="1">
        <f t="shared" si="2"/>
        <v>2.3504273504273421E-3</v>
      </c>
      <c r="D101" s="1"/>
      <c r="H101" s="1">
        <v>0.45283119658119658</v>
      </c>
      <c r="J101" s="1">
        <f t="shared" si="3"/>
        <v>3.3119658119658002E-3</v>
      </c>
      <c r="K101" s="1"/>
      <c r="N101" s="14"/>
      <c r="O101" s="17">
        <v>3.3846153846153726</v>
      </c>
      <c r="R101" s="17">
        <v>11.800000000000006</v>
      </c>
    </row>
    <row r="102" spans="1:18">
      <c r="A102" s="1">
        <v>0.45753205128205116</v>
      </c>
      <c r="C102" s="1">
        <f t="shared" si="2"/>
        <v>2.3504273504273421E-3</v>
      </c>
      <c r="D102" s="1"/>
      <c r="H102" s="1">
        <v>0.45614316239316238</v>
      </c>
      <c r="J102" s="1">
        <f t="shared" si="3"/>
        <v>3.3119658119658002E-3</v>
      </c>
      <c r="K102" s="1"/>
      <c r="N102" s="14"/>
      <c r="O102" s="17">
        <v>3.3846153846153726</v>
      </c>
      <c r="R102" s="17">
        <v>11.800000000000006</v>
      </c>
    </row>
    <row r="103" spans="1:18">
      <c r="A103" s="1">
        <v>0.4598824786324785</v>
      </c>
      <c r="C103" s="1">
        <f t="shared" si="2"/>
        <v>2.3504273504273421E-3</v>
      </c>
      <c r="D103" s="1"/>
      <c r="H103" s="1">
        <v>0.45945512820512818</v>
      </c>
      <c r="J103" s="1">
        <f t="shared" si="3"/>
        <v>3.3119658119658002E-3</v>
      </c>
      <c r="K103" s="1"/>
      <c r="N103" s="14"/>
      <c r="O103" s="17">
        <v>3.3846153846153726</v>
      </c>
      <c r="R103" s="17">
        <v>11.800000000000086</v>
      </c>
    </row>
    <row r="104" spans="1:18">
      <c r="A104" s="1">
        <v>0.46223290598290584</v>
      </c>
      <c r="C104" s="1">
        <f t="shared" si="2"/>
        <v>2.3504273504275086E-3</v>
      </c>
      <c r="D104" s="1"/>
      <c r="H104" s="1">
        <v>0.46276709401709398</v>
      </c>
      <c r="J104" s="1">
        <f t="shared" si="3"/>
        <v>3.3119658119658002E-3</v>
      </c>
      <c r="K104" s="1"/>
      <c r="N104" s="14"/>
      <c r="O104" s="17">
        <v>3.3846153846153726</v>
      </c>
      <c r="R104" s="17">
        <v>4.7692307692307523</v>
      </c>
    </row>
    <row r="105" spans="1:18">
      <c r="A105" s="10">
        <v>0.46458333333333335</v>
      </c>
      <c r="B105" s="11">
        <v>13</v>
      </c>
      <c r="C105" s="1">
        <f t="shared" si="2"/>
        <v>8.3333333333333037E-3</v>
      </c>
      <c r="D105" s="1"/>
      <c r="H105" s="1">
        <v>0.46607905982905978</v>
      </c>
      <c r="J105" s="1">
        <f t="shared" si="3"/>
        <v>3.3119658119658002E-3</v>
      </c>
      <c r="K105" s="1"/>
      <c r="N105" s="14"/>
      <c r="O105" s="17">
        <v>3.3846153846153726</v>
      </c>
      <c r="R105" s="17">
        <v>4.7692307692307523</v>
      </c>
    </row>
    <row r="106" spans="1:18">
      <c r="A106" s="1">
        <v>0.47291666666666665</v>
      </c>
      <c r="C106" s="1">
        <f t="shared" si="2"/>
        <v>8.3333333333333037E-3</v>
      </c>
      <c r="D106" s="1"/>
      <c r="H106" s="1">
        <v>0.46939102564102558</v>
      </c>
      <c r="J106" s="1">
        <f t="shared" si="3"/>
        <v>3.3119658119658002E-3</v>
      </c>
      <c r="K106" s="1"/>
      <c r="N106" s="14"/>
      <c r="O106" s="17">
        <v>3.3846153846153726</v>
      </c>
      <c r="R106" s="17">
        <v>4.7692307692307523</v>
      </c>
    </row>
    <row r="107" spans="1:18">
      <c r="A107" s="1">
        <v>0.48124999999999996</v>
      </c>
      <c r="C107" s="1">
        <f t="shared" si="2"/>
        <v>8.3333333333333592E-3</v>
      </c>
      <c r="D107" s="1"/>
      <c r="H107" s="1">
        <v>0.47270299145299138</v>
      </c>
      <c r="J107" s="1">
        <f t="shared" si="3"/>
        <v>3.3119658119658002E-3</v>
      </c>
      <c r="K107" s="1"/>
      <c r="N107" s="14"/>
      <c r="O107" s="17">
        <v>3.3846153846153726</v>
      </c>
      <c r="R107" s="17">
        <v>4.7692307692307523</v>
      </c>
    </row>
    <row r="108" spans="1:18">
      <c r="A108" s="10">
        <v>0.48958333333333331</v>
      </c>
      <c r="B108" s="11">
        <v>3</v>
      </c>
      <c r="C108" s="1">
        <f t="shared" si="2"/>
        <v>4.8611111111111494E-3</v>
      </c>
      <c r="D108" s="1"/>
      <c r="H108" s="1">
        <v>0.47601495726495718</v>
      </c>
      <c r="J108" s="1">
        <f t="shared" si="3"/>
        <v>3.3119658119658002E-3</v>
      </c>
      <c r="K108" s="1"/>
      <c r="N108" s="14"/>
      <c r="O108" s="17">
        <v>3.3846153846153726</v>
      </c>
      <c r="R108" s="17">
        <v>4.7692307692307523</v>
      </c>
    </row>
    <row r="109" spans="1:18">
      <c r="A109" s="1">
        <v>0.49444444444444446</v>
      </c>
      <c r="C109" s="1">
        <f t="shared" si="2"/>
        <v>4.8611111111111494E-3</v>
      </c>
      <c r="D109" s="1"/>
      <c r="H109" s="1">
        <v>0.47932692307692298</v>
      </c>
      <c r="J109" s="1">
        <f t="shared" si="3"/>
        <v>3.3119658119659112E-3</v>
      </c>
      <c r="K109" s="1"/>
      <c r="N109" s="14"/>
      <c r="O109" s="17">
        <v>3.3846153846153726</v>
      </c>
      <c r="R109" s="17">
        <v>4.7692307692307523</v>
      </c>
    </row>
    <row r="110" spans="1:18">
      <c r="A110" s="1">
        <v>0.49930555555555561</v>
      </c>
      <c r="C110" s="1">
        <f t="shared" si="2"/>
        <v>4.8611111111111494E-3</v>
      </c>
      <c r="D110" s="1"/>
      <c r="H110" s="10">
        <v>0.4826388888888889</v>
      </c>
      <c r="I110" s="19">
        <v>13</v>
      </c>
      <c r="J110" s="1">
        <f t="shared" si="3"/>
        <v>3.4722222222222099E-3</v>
      </c>
      <c r="K110" s="1"/>
      <c r="N110" s="14"/>
      <c r="O110" s="17">
        <v>3.3846153846153726</v>
      </c>
      <c r="R110" s="17">
        <v>4.7692307692307523</v>
      </c>
    </row>
    <row r="111" spans="1:18">
      <c r="A111" s="1">
        <v>0.50416666666666676</v>
      </c>
      <c r="C111" s="1">
        <f t="shared" si="2"/>
        <v>4.8611111111110938E-3</v>
      </c>
      <c r="D111" s="1"/>
      <c r="H111" s="1">
        <v>0.4861111111111111</v>
      </c>
      <c r="J111" s="1">
        <f t="shared" si="3"/>
        <v>3.4722222222222099E-3</v>
      </c>
      <c r="K111" s="1"/>
      <c r="N111" s="14"/>
      <c r="O111" s="17">
        <v>3.3846153846156124</v>
      </c>
      <c r="R111" s="17">
        <v>4.7692307692307523</v>
      </c>
    </row>
    <row r="112" spans="1:18">
      <c r="A112" s="1">
        <v>0.50902777777777786</v>
      </c>
      <c r="C112" s="1">
        <f t="shared" si="2"/>
        <v>4.8611111111110938E-3</v>
      </c>
      <c r="D112" s="1"/>
      <c r="H112" s="1">
        <v>0.48958333333333331</v>
      </c>
      <c r="J112" s="1">
        <f t="shared" si="3"/>
        <v>3.4722222222222654E-3</v>
      </c>
      <c r="K112" s="1"/>
      <c r="N112" s="14"/>
      <c r="O112" s="17">
        <v>11.999999999999957</v>
      </c>
      <c r="R112" s="17">
        <v>4.7692307692307523</v>
      </c>
    </row>
    <row r="113" spans="1:18">
      <c r="A113" s="10">
        <v>0.51388888888888895</v>
      </c>
      <c r="B113" s="11">
        <v>5</v>
      </c>
      <c r="C113" s="1">
        <f t="shared" si="2"/>
        <v>1.9444444444444153E-3</v>
      </c>
      <c r="D113" s="1"/>
      <c r="H113" s="10">
        <v>0.49305555555555558</v>
      </c>
      <c r="I113" s="19">
        <v>3</v>
      </c>
      <c r="J113" s="1">
        <f t="shared" si="3"/>
        <v>4.8611111111110938E-3</v>
      </c>
      <c r="K113" s="1"/>
      <c r="N113" s="14"/>
      <c r="O113" s="17">
        <v>11.999999999999957</v>
      </c>
      <c r="R113" s="17">
        <v>4.7692307692307523</v>
      </c>
    </row>
    <row r="114" spans="1:18">
      <c r="A114" s="1">
        <v>0.51583333333333337</v>
      </c>
      <c r="C114" s="1">
        <f t="shared" si="2"/>
        <v>1.9444444444444153E-3</v>
      </c>
      <c r="D114" s="1"/>
      <c r="H114" s="1">
        <v>0.49791666666666667</v>
      </c>
      <c r="J114" s="1">
        <f t="shared" si="3"/>
        <v>4.8611111111110938E-3</v>
      </c>
      <c r="K114" s="1"/>
      <c r="N114" s="14"/>
      <c r="O114" s="17">
        <v>12.000000000000037</v>
      </c>
      <c r="R114" s="17">
        <v>4.7692307692307523</v>
      </c>
    </row>
    <row r="115" spans="1:18">
      <c r="A115" s="1">
        <v>0.51777777777777778</v>
      </c>
      <c r="C115" s="1">
        <f t="shared" si="2"/>
        <v>1.9444444444444153E-3</v>
      </c>
      <c r="D115" s="1"/>
      <c r="H115" s="1">
        <v>0.50277777777777777</v>
      </c>
      <c r="J115" s="1">
        <f t="shared" si="3"/>
        <v>4.8611111111110938E-3</v>
      </c>
      <c r="K115" s="1"/>
      <c r="N115" s="14"/>
      <c r="O115" s="17">
        <v>7.0000000000000551</v>
      </c>
      <c r="R115" s="17">
        <v>4.7692307692307523</v>
      </c>
    </row>
    <row r="116" spans="1:18">
      <c r="A116" s="1">
        <v>0.5197222222222222</v>
      </c>
      <c r="C116" s="1">
        <f t="shared" si="2"/>
        <v>1.9444444444444153E-3</v>
      </c>
      <c r="D116" s="1"/>
      <c r="H116" s="1">
        <v>0.50763888888888886</v>
      </c>
      <c r="J116" s="1">
        <f t="shared" si="3"/>
        <v>4.8611111111110938E-3</v>
      </c>
      <c r="K116" s="1"/>
      <c r="N116" s="14"/>
      <c r="O116" s="17">
        <v>7.0000000000000551</v>
      </c>
      <c r="R116" s="17">
        <v>4.7692307692309122</v>
      </c>
    </row>
    <row r="117" spans="1:18">
      <c r="A117" s="1">
        <v>0.52166666666666661</v>
      </c>
      <c r="C117" s="1">
        <f t="shared" si="2"/>
        <v>1.9444444444445264E-3</v>
      </c>
      <c r="D117" s="1"/>
      <c r="H117" s="1">
        <v>0.51249999999999996</v>
      </c>
      <c r="J117" s="1">
        <f t="shared" si="3"/>
        <v>4.8611111111110938E-3</v>
      </c>
      <c r="K117" s="1"/>
      <c r="N117" s="14"/>
      <c r="O117" s="17">
        <v>7.0000000000000551</v>
      </c>
      <c r="R117" s="17">
        <v>4.9999999999999822</v>
      </c>
    </row>
    <row r="118" spans="1:18">
      <c r="A118" s="10">
        <v>0.52361111111111114</v>
      </c>
      <c r="B118" s="11">
        <v>5</v>
      </c>
      <c r="C118" s="1">
        <f t="shared" si="2"/>
        <v>6.1111111111110672E-3</v>
      </c>
      <c r="D118" s="1"/>
      <c r="H118" s="10">
        <v>0.51736111111111105</v>
      </c>
      <c r="I118" s="19">
        <v>5</v>
      </c>
      <c r="J118" s="1">
        <f t="shared" si="3"/>
        <v>2.9166666666666785E-3</v>
      </c>
      <c r="K118" s="1"/>
      <c r="N118" s="14"/>
      <c r="O118" s="17">
        <v>6.9999999999999751</v>
      </c>
      <c r="R118" s="17">
        <v>4.9999999999999822</v>
      </c>
    </row>
    <row r="119" spans="1:18">
      <c r="A119" s="1">
        <v>0.52972222222222221</v>
      </c>
      <c r="C119" s="1">
        <f t="shared" si="2"/>
        <v>6.1111111111110672E-3</v>
      </c>
      <c r="D119" s="1"/>
      <c r="H119" s="1">
        <v>0.52027777777777773</v>
      </c>
      <c r="J119" s="1">
        <f t="shared" si="3"/>
        <v>2.9166666666666785E-3</v>
      </c>
      <c r="K119" s="1"/>
      <c r="N119" s="14"/>
      <c r="O119" s="17">
        <v>6.9999999999999751</v>
      </c>
      <c r="R119" s="17">
        <v>5.0000000000000622</v>
      </c>
    </row>
    <row r="120" spans="1:18">
      <c r="A120" s="1">
        <v>0.53583333333333327</v>
      </c>
      <c r="C120" s="1">
        <f t="shared" si="2"/>
        <v>6.1111111111110672E-3</v>
      </c>
      <c r="D120" s="1"/>
      <c r="H120" s="1">
        <v>0.52319444444444441</v>
      </c>
      <c r="J120" s="1">
        <f t="shared" si="3"/>
        <v>2.9166666666666785E-3</v>
      </c>
      <c r="K120" s="1"/>
      <c r="N120" s="14"/>
      <c r="O120" s="17">
        <v>2.7999999999999581</v>
      </c>
      <c r="R120" s="17">
        <v>6.9999999999999751</v>
      </c>
    </row>
    <row r="121" spans="1:18">
      <c r="A121" s="1">
        <v>0.54194444444444434</v>
      </c>
      <c r="C121" s="1">
        <f t="shared" si="2"/>
        <v>6.1111111111110672E-3</v>
      </c>
      <c r="D121" s="1"/>
      <c r="H121" s="1">
        <v>0.52611111111111108</v>
      </c>
      <c r="J121" s="1">
        <f t="shared" si="3"/>
        <v>2.9166666666666785E-3</v>
      </c>
      <c r="K121" s="1"/>
      <c r="N121" s="14"/>
      <c r="O121" s="17">
        <v>2.7999999999999581</v>
      </c>
      <c r="R121" s="17">
        <v>6.9999999999999751</v>
      </c>
    </row>
    <row r="122" spans="1:18">
      <c r="A122" s="1">
        <v>0.54805555555555541</v>
      </c>
      <c r="C122" s="1">
        <f t="shared" si="2"/>
        <v>6.1111111111112892E-3</v>
      </c>
      <c r="D122" s="1"/>
      <c r="H122" s="1">
        <v>0.52902777777777776</v>
      </c>
      <c r="J122" s="1">
        <f t="shared" si="3"/>
        <v>2.9166666666666785E-3</v>
      </c>
      <c r="K122" s="1"/>
      <c r="N122" s="14"/>
      <c r="O122" s="17">
        <v>2.7999999999999581</v>
      </c>
      <c r="R122" s="17">
        <v>6.9999999999999751</v>
      </c>
    </row>
    <row r="123" spans="1:18">
      <c r="A123" s="10">
        <v>0.5541666666666667</v>
      </c>
      <c r="B123" s="11">
        <v>5</v>
      </c>
      <c r="C123" s="1">
        <f t="shared" si="2"/>
        <v>5.3819444444443976E-3</v>
      </c>
      <c r="D123" s="1"/>
      <c r="H123" s="10">
        <v>0.53194444444444444</v>
      </c>
      <c r="I123" s="19">
        <v>5</v>
      </c>
      <c r="J123" s="1">
        <f t="shared" si="3"/>
        <v>6.2499999999999778E-3</v>
      </c>
      <c r="K123" s="1"/>
      <c r="N123" s="14"/>
      <c r="O123" s="17">
        <v>2.7999999999999581</v>
      </c>
      <c r="R123" s="17">
        <v>6.9999999999999751</v>
      </c>
    </row>
    <row r="124" spans="1:18">
      <c r="A124" s="1">
        <v>0.55954861111111109</v>
      </c>
      <c r="C124" s="1">
        <f t="shared" si="2"/>
        <v>5.3819444444443976E-3</v>
      </c>
      <c r="D124" s="1"/>
      <c r="H124" s="1">
        <v>0.53819444444444442</v>
      </c>
      <c r="J124" s="1">
        <f t="shared" si="3"/>
        <v>6.2499999999999778E-3</v>
      </c>
      <c r="K124" s="1"/>
      <c r="N124" s="14"/>
      <c r="O124" s="17">
        <v>2.800000000000118</v>
      </c>
      <c r="R124" s="17">
        <v>6.9999999999999751</v>
      </c>
    </row>
    <row r="125" spans="1:18">
      <c r="A125" s="1">
        <v>0.56493055555555549</v>
      </c>
      <c r="C125" s="1">
        <f t="shared" si="2"/>
        <v>5.3819444444443976E-3</v>
      </c>
      <c r="D125" s="1"/>
      <c r="H125" s="1">
        <v>0.5444444444444444</v>
      </c>
      <c r="J125" s="1">
        <f t="shared" si="3"/>
        <v>6.2499999999999778E-3</v>
      </c>
      <c r="K125" s="1"/>
      <c r="N125" s="14"/>
      <c r="O125" s="17">
        <v>8.7999999999999368</v>
      </c>
      <c r="R125" s="17">
        <v>4.2000000000000171</v>
      </c>
    </row>
    <row r="126" spans="1:18">
      <c r="A126" s="1">
        <v>0.57031249999999989</v>
      </c>
      <c r="C126" s="1">
        <f t="shared" si="2"/>
        <v>5.3819444444443976E-3</v>
      </c>
      <c r="D126" s="1"/>
      <c r="H126" s="1">
        <v>0.55069444444444438</v>
      </c>
      <c r="J126" s="1">
        <f t="shared" si="3"/>
        <v>6.2499999999999778E-3</v>
      </c>
      <c r="K126" s="1"/>
      <c r="N126" s="14"/>
      <c r="O126" s="17">
        <v>8.7999999999999368</v>
      </c>
      <c r="R126" s="17">
        <v>4.2000000000000171</v>
      </c>
    </row>
    <row r="127" spans="1:18">
      <c r="A127" s="1">
        <v>0.57569444444444429</v>
      </c>
      <c r="C127" s="1">
        <f t="shared" si="2"/>
        <v>5.3819444444443976E-3</v>
      </c>
      <c r="D127" s="1"/>
      <c r="H127" s="1">
        <v>0.55694444444444435</v>
      </c>
      <c r="J127" s="1">
        <f t="shared" si="3"/>
        <v>6.2500000000000888E-3</v>
      </c>
      <c r="K127" s="1"/>
      <c r="N127" s="14"/>
      <c r="O127" s="17">
        <v>8.7999999999999368</v>
      </c>
      <c r="R127" s="17">
        <v>4.2000000000000171</v>
      </c>
    </row>
    <row r="128" spans="1:18">
      <c r="A128" s="1">
        <v>0.58107638888888868</v>
      </c>
      <c r="C128" s="1">
        <f t="shared" si="2"/>
        <v>5.3819444444443976E-3</v>
      </c>
      <c r="D128" s="1"/>
      <c r="H128" s="10">
        <v>0.56319444444444444</v>
      </c>
      <c r="I128" s="19">
        <v>5</v>
      </c>
      <c r="J128" s="1">
        <f t="shared" si="3"/>
        <v>5.7870370370370905E-3</v>
      </c>
      <c r="K128" s="1"/>
      <c r="N128" s="14"/>
      <c r="O128" s="17">
        <v>8.7999999999999368</v>
      </c>
      <c r="R128" s="17">
        <v>4.2000000000000171</v>
      </c>
    </row>
    <row r="129" spans="1:18">
      <c r="A129" s="1">
        <v>0.58645833333333308</v>
      </c>
      <c r="C129" s="1">
        <f t="shared" si="2"/>
        <v>5.3819444444443976E-3</v>
      </c>
      <c r="D129" s="1"/>
      <c r="H129" s="1">
        <v>0.56898148148148153</v>
      </c>
      <c r="J129" s="1">
        <f t="shared" si="3"/>
        <v>5.7870370370370905E-3</v>
      </c>
      <c r="K129" s="1"/>
      <c r="N129" s="14"/>
      <c r="O129" s="17">
        <v>8.8000000000002565</v>
      </c>
      <c r="R129" s="17">
        <v>4.2000000000000171</v>
      </c>
    </row>
    <row r="130" spans="1:18">
      <c r="A130" s="1">
        <v>0.59184027777777748</v>
      </c>
      <c r="C130" s="1">
        <f t="shared" si="2"/>
        <v>5.3819444444447306E-3</v>
      </c>
      <c r="D130" s="1"/>
      <c r="H130" s="1">
        <v>0.57476851851851862</v>
      </c>
      <c r="J130" s="1">
        <f t="shared" si="3"/>
        <v>5.7870370370369795E-3</v>
      </c>
      <c r="K130" s="1"/>
      <c r="N130" s="14"/>
      <c r="O130" s="17">
        <v>7.7499999999999325</v>
      </c>
      <c r="R130" s="17">
        <v>8.999999999999968</v>
      </c>
    </row>
    <row r="131" spans="1:18">
      <c r="A131" s="10">
        <v>0.59722222222222221</v>
      </c>
      <c r="B131" s="11">
        <v>8</v>
      </c>
      <c r="C131" s="1">
        <f t="shared" si="2"/>
        <v>5.5555555555555358E-3</v>
      </c>
      <c r="D131" s="1"/>
      <c r="H131" s="10">
        <v>0.5805555555555556</v>
      </c>
      <c r="I131" s="19">
        <v>3</v>
      </c>
      <c r="J131" s="1">
        <f t="shared" si="3"/>
        <v>3.211805555555558E-3</v>
      </c>
      <c r="K131" s="1"/>
      <c r="N131" s="14"/>
      <c r="O131" s="17">
        <v>7.7499999999999325</v>
      </c>
      <c r="R131" s="17">
        <v>8.999999999999968</v>
      </c>
    </row>
    <row r="132" spans="1:18">
      <c r="A132" s="1">
        <v>0.60277777777777775</v>
      </c>
      <c r="C132" s="1">
        <f t="shared" si="2"/>
        <v>5.5555555555555358E-3</v>
      </c>
      <c r="D132" s="1"/>
      <c r="H132" s="1">
        <v>0.58376736111111116</v>
      </c>
      <c r="J132" s="1">
        <f t="shared" si="3"/>
        <v>3.211805555555558E-3</v>
      </c>
      <c r="K132" s="1"/>
      <c r="N132" s="14"/>
      <c r="O132" s="17">
        <v>7.7499999999999325</v>
      </c>
      <c r="R132" s="17">
        <v>8.999999999999968</v>
      </c>
    </row>
    <row r="133" spans="1:18">
      <c r="A133" s="1">
        <v>0.60833333333333328</v>
      </c>
      <c r="C133" s="1">
        <f t="shared" si="2"/>
        <v>5.5555555555555358E-3</v>
      </c>
      <c r="D133" s="1"/>
      <c r="H133" s="1">
        <v>0.58697916666666672</v>
      </c>
      <c r="J133" s="1">
        <f t="shared" si="3"/>
        <v>3.211805555555558E-3</v>
      </c>
      <c r="K133" s="1"/>
      <c r="N133" s="14"/>
      <c r="O133" s="17">
        <v>7.7499999999999325</v>
      </c>
      <c r="R133" s="17">
        <v>8.999999999999968</v>
      </c>
    </row>
    <row r="134" spans="1:18">
      <c r="A134" s="1">
        <v>0.61388888888888882</v>
      </c>
      <c r="C134" s="1">
        <f t="shared" si="2"/>
        <v>5.5555555555556468E-3</v>
      </c>
      <c r="D134" s="1"/>
      <c r="H134" s="1">
        <v>0.59019097222222228</v>
      </c>
      <c r="J134" s="1">
        <f t="shared" si="3"/>
        <v>3.211805555555558E-3</v>
      </c>
      <c r="K134" s="1"/>
      <c r="N134" s="14"/>
      <c r="O134" s="17">
        <v>7.7499999999999325</v>
      </c>
      <c r="R134" s="17">
        <v>9.0000000000001279</v>
      </c>
    </row>
    <row r="135" spans="1:18">
      <c r="A135" s="10">
        <v>0.61944444444444446</v>
      </c>
      <c r="B135" s="11">
        <v>4</v>
      </c>
      <c r="D135" s="1"/>
      <c r="H135" s="1">
        <v>0.59340277777777783</v>
      </c>
      <c r="J135" s="1">
        <f t="shared" si="3"/>
        <v>3.211805555555558E-3</v>
      </c>
      <c r="K135" s="1"/>
      <c r="N135" s="14"/>
      <c r="O135" s="17">
        <v>7.7499999999999325</v>
      </c>
      <c r="R135" s="17">
        <v>8.3333333333334103</v>
      </c>
    </row>
    <row r="136" spans="1:18">
      <c r="A136" s="4"/>
      <c r="B136" s="4"/>
      <c r="D136" s="1"/>
      <c r="H136" s="1">
        <v>0.59661458333333339</v>
      </c>
      <c r="J136" s="1">
        <f t="shared" ref="J136:J157" si="4">H137-H136</f>
        <v>3.211805555555558E-3</v>
      </c>
      <c r="K136" s="1"/>
      <c r="N136" s="14"/>
      <c r="O136" s="17">
        <v>7.7499999999999325</v>
      </c>
      <c r="R136" s="17">
        <v>8.3333333333334103</v>
      </c>
    </row>
    <row r="137" spans="1:18">
      <c r="A137" s="1">
        <v>0.82430555555555562</v>
      </c>
      <c r="C137" s="1">
        <f>A138-A137</f>
        <v>6.3657407407406996E-3</v>
      </c>
      <c r="D137" s="1"/>
      <c r="H137" s="1">
        <v>0.59982638888888895</v>
      </c>
      <c r="J137" s="1">
        <f t="shared" si="4"/>
        <v>3.211805555555558E-3</v>
      </c>
      <c r="K137" s="1"/>
      <c r="N137" s="14"/>
      <c r="O137" s="17">
        <v>7.7500000000004121</v>
      </c>
      <c r="R137" s="17">
        <v>8.3333333333332504</v>
      </c>
    </row>
    <row r="138" spans="1:18">
      <c r="A138" s="1">
        <v>0.83067129629629632</v>
      </c>
      <c r="C138" s="1">
        <f t="shared" ref="C138:C156" si="5">A139-A138</f>
        <v>6.3657407407406996E-3</v>
      </c>
      <c r="D138" s="1"/>
      <c r="H138" s="1">
        <v>0.60303819444444451</v>
      </c>
      <c r="J138" s="1">
        <f t="shared" si="4"/>
        <v>3.211805555555558E-3</v>
      </c>
      <c r="K138" s="1"/>
      <c r="N138" s="14"/>
      <c r="O138" s="17">
        <v>7.9999999999999716</v>
      </c>
      <c r="R138" s="17">
        <v>4.6250000000000036</v>
      </c>
    </row>
    <row r="139" spans="1:18">
      <c r="A139" s="1">
        <v>0.83703703703703702</v>
      </c>
      <c r="C139" s="1">
        <f t="shared" si="5"/>
        <v>6.3657407407406996E-3</v>
      </c>
      <c r="D139" s="1"/>
      <c r="H139" s="10">
        <v>0.60625000000000007</v>
      </c>
      <c r="I139" s="19">
        <v>8</v>
      </c>
      <c r="J139" s="1">
        <f t="shared" si="4"/>
        <v>6.0763888888888395E-3</v>
      </c>
      <c r="K139" s="1"/>
      <c r="N139" s="14"/>
      <c r="O139" s="17">
        <v>7.9999999999999716</v>
      </c>
      <c r="R139" s="17">
        <v>4.6250000000000036</v>
      </c>
    </row>
    <row r="140" spans="1:18">
      <c r="A140" s="1">
        <v>0.84340277777777772</v>
      </c>
      <c r="C140" s="1">
        <f t="shared" si="5"/>
        <v>6.3657407407406996E-3</v>
      </c>
      <c r="D140" s="1"/>
      <c r="H140" s="1">
        <v>0.61232638888888891</v>
      </c>
      <c r="J140" s="1">
        <f t="shared" si="4"/>
        <v>6.0763888888888395E-3</v>
      </c>
      <c r="K140" s="1"/>
      <c r="N140" s="14"/>
      <c r="O140" s="17">
        <v>7.9999999999999716</v>
      </c>
      <c r="R140" s="17">
        <v>4.6250000000000036</v>
      </c>
    </row>
    <row r="141" spans="1:18">
      <c r="A141" s="1">
        <v>0.84976851851851842</v>
      </c>
      <c r="C141" s="1">
        <f t="shared" si="5"/>
        <v>6.3657407407406996E-3</v>
      </c>
      <c r="D141" s="1"/>
      <c r="H141" s="1">
        <v>0.61840277777777775</v>
      </c>
      <c r="J141" s="1">
        <f t="shared" si="4"/>
        <v>6.0763888888888395E-3</v>
      </c>
      <c r="K141" s="1"/>
      <c r="N141" s="14"/>
      <c r="O141" s="17">
        <v>8.0000000000001315</v>
      </c>
      <c r="R141" s="17">
        <v>4.6250000000000036</v>
      </c>
    </row>
    <row r="142" spans="1:18">
      <c r="A142" s="1">
        <v>0.85613425925925912</v>
      </c>
      <c r="C142" s="1">
        <f t="shared" si="5"/>
        <v>6.3657407407408106E-3</v>
      </c>
      <c r="D142" s="1"/>
      <c r="H142" s="1">
        <v>0.62447916666666659</v>
      </c>
      <c r="J142" s="1">
        <f t="shared" si="4"/>
        <v>6.0763888888889506E-3</v>
      </c>
      <c r="K142" s="1"/>
      <c r="N142" s="14"/>
      <c r="O142" s="17">
        <v>9.1666666666666075</v>
      </c>
      <c r="R142" s="17">
        <v>4.6250000000000036</v>
      </c>
    </row>
    <row r="143" spans="1:18">
      <c r="A143" s="10">
        <v>0.86249999999999993</v>
      </c>
      <c r="B143" s="11">
        <v>6</v>
      </c>
      <c r="C143" s="1">
        <f t="shared" si="5"/>
        <v>4.6296296296296502E-3</v>
      </c>
      <c r="D143" s="1"/>
      <c r="H143" s="10">
        <v>0.63055555555555554</v>
      </c>
      <c r="I143" s="19">
        <v>4</v>
      </c>
      <c r="J143" s="1">
        <f t="shared" si="4"/>
        <v>5.0868055555555514E-2</v>
      </c>
      <c r="K143" s="1"/>
      <c r="N143" s="14"/>
      <c r="O143" s="17">
        <v>9.1666666666666075</v>
      </c>
      <c r="R143" s="17">
        <v>4.6250000000000036</v>
      </c>
    </row>
    <row r="144" spans="1:18">
      <c r="A144" s="1">
        <v>0.86712962962962958</v>
      </c>
      <c r="C144" s="1">
        <f t="shared" si="5"/>
        <v>4.6296296296296502E-3</v>
      </c>
      <c r="D144" s="1"/>
      <c r="H144" s="1">
        <v>0.68142361111111105</v>
      </c>
      <c r="J144" s="1">
        <f t="shared" si="4"/>
        <v>5.0868055555555514E-2</v>
      </c>
      <c r="K144" s="1"/>
      <c r="N144" s="14"/>
      <c r="O144" s="17">
        <v>9.1666666666666075</v>
      </c>
      <c r="R144" s="17">
        <v>4.6250000000000036</v>
      </c>
    </row>
    <row r="145" spans="1:18">
      <c r="A145" s="1">
        <v>0.87175925925925923</v>
      </c>
      <c r="C145" s="1">
        <f t="shared" si="5"/>
        <v>4.6296296296297612E-3</v>
      </c>
      <c r="D145" s="1"/>
      <c r="H145" s="1">
        <v>0.73229166666666656</v>
      </c>
      <c r="J145" s="1">
        <f t="shared" si="4"/>
        <v>5.0868055555555514E-2</v>
      </c>
      <c r="K145" s="1"/>
      <c r="N145" s="14"/>
      <c r="O145" s="17">
        <v>9.1666666666666075</v>
      </c>
      <c r="R145" s="17">
        <v>4.6250000000000036</v>
      </c>
    </row>
    <row r="146" spans="1:18">
      <c r="A146" s="10">
        <v>0.87638888888888899</v>
      </c>
      <c r="B146" s="11">
        <v>3</v>
      </c>
      <c r="C146" s="1">
        <f t="shared" si="5"/>
        <v>8.101851851851638E-4</v>
      </c>
      <c r="D146" s="1"/>
      <c r="H146" s="1">
        <v>0.78315972222222208</v>
      </c>
      <c r="J146" s="1">
        <f t="shared" si="4"/>
        <v>5.0868055555555625E-2</v>
      </c>
      <c r="K146" s="1"/>
      <c r="N146" s="14"/>
      <c r="O146" s="17">
        <v>9.1666666666666075</v>
      </c>
      <c r="R146" s="17">
        <v>8.7499999999999289</v>
      </c>
    </row>
    <row r="147" spans="1:18">
      <c r="A147" s="1">
        <v>0.87719907407407416</v>
      </c>
      <c r="C147" s="1">
        <f t="shared" si="5"/>
        <v>8.101851851851638E-4</v>
      </c>
      <c r="D147" s="1"/>
      <c r="H147" s="10">
        <v>0.8340277777777777</v>
      </c>
      <c r="I147" s="19">
        <v>4</v>
      </c>
      <c r="J147" s="1">
        <f t="shared" si="4"/>
        <v>6.25E-2</v>
      </c>
      <c r="K147" s="1"/>
      <c r="N147" s="14"/>
      <c r="O147" s="17">
        <v>9.1666666666667673</v>
      </c>
      <c r="R147" s="17">
        <v>8.7499999999999289</v>
      </c>
    </row>
    <row r="148" spans="1:18">
      <c r="A148" s="1">
        <v>0.87800925925925932</v>
      </c>
      <c r="C148" s="1">
        <f t="shared" si="5"/>
        <v>8.101851851851638E-4</v>
      </c>
      <c r="D148" s="1"/>
      <c r="H148" s="1">
        <v>0.8965277777777777</v>
      </c>
      <c r="I148" s="17">
        <v>1</v>
      </c>
      <c r="J148" s="1">
        <f t="shared" si="4"/>
        <v>3.9930555555555136E-3</v>
      </c>
      <c r="K148" s="1"/>
      <c r="N148" s="14"/>
      <c r="O148" s="17">
        <v>6.6666666666666963</v>
      </c>
      <c r="R148" s="17">
        <v>8.7499999999999289</v>
      </c>
    </row>
    <row r="149" spans="1:18">
      <c r="A149" s="1">
        <v>0.87881944444444449</v>
      </c>
      <c r="C149" s="1">
        <f t="shared" si="5"/>
        <v>8.101851851851638E-4</v>
      </c>
      <c r="D149" s="1"/>
      <c r="H149" s="1">
        <v>0.90052083333333321</v>
      </c>
      <c r="J149" s="1">
        <f t="shared" si="4"/>
        <v>3.9930555555556246E-3</v>
      </c>
      <c r="K149" s="1"/>
      <c r="N149" s="14"/>
      <c r="O149" s="17">
        <v>6.6666666666666963</v>
      </c>
      <c r="R149" s="17">
        <v>8.7500000000000888</v>
      </c>
    </row>
    <row r="150" spans="1:18">
      <c r="A150" s="1">
        <v>0.87962962962962965</v>
      </c>
      <c r="C150" s="1">
        <f t="shared" si="5"/>
        <v>8.101851851851638E-4</v>
      </c>
      <c r="D150" s="1"/>
      <c r="H150" s="1">
        <v>0.90451388888888884</v>
      </c>
      <c r="J150" s="1">
        <f t="shared" si="4"/>
        <v>3.9930555555556246E-3</v>
      </c>
      <c r="K150" s="1"/>
      <c r="N150" s="14"/>
      <c r="O150" s="17">
        <v>6.6666666666668561</v>
      </c>
      <c r="R150" s="17">
        <v>73.249999999999943</v>
      </c>
    </row>
    <row r="151" spans="1:18">
      <c r="A151" s="1">
        <v>0.88043981481481481</v>
      </c>
      <c r="C151" s="1">
        <f t="shared" si="5"/>
        <v>8.101851851851638E-4</v>
      </c>
      <c r="D151" s="1"/>
      <c r="H151" s="1">
        <v>0.90850694444444446</v>
      </c>
      <c r="J151" s="1">
        <f t="shared" si="4"/>
        <v>3.9930555555555136E-3</v>
      </c>
      <c r="K151" s="1"/>
      <c r="N151" s="14"/>
      <c r="O151" s="17">
        <v>1.1666666666666359</v>
      </c>
      <c r="R151" s="17">
        <v>73.249999999999943</v>
      </c>
    </row>
    <row r="152" spans="1:18">
      <c r="A152" s="10">
        <v>0.88124999999999998</v>
      </c>
      <c r="B152" s="11">
        <v>6</v>
      </c>
      <c r="C152" s="1">
        <f t="shared" si="5"/>
        <v>1.041666666666663E-2</v>
      </c>
      <c r="D152" s="1"/>
      <c r="H152" s="20">
        <v>0.91249999999999998</v>
      </c>
      <c r="I152" s="19">
        <v>4</v>
      </c>
      <c r="J152" s="1">
        <f t="shared" si="4"/>
        <v>3.4722222222223209E-3</v>
      </c>
      <c r="K152" s="1"/>
      <c r="N152" s="14"/>
      <c r="O152" s="17">
        <v>1.1666666666666359</v>
      </c>
      <c r="R152" s="17">
        <v>73.249999999999943</v>
      </c>
    </row>
    <row r="153" spans="1:18">
      <c r="A153" s="1">
        <v>0.89166666666666661</v>
      </c>
      <c r="B153">
        <v>1</v>
      </c>
      <c r="C153" s="1">
        <f t="shared" si="5"/>
        <v>3.2407407407407662E-3</v>
      </c>
      <c r="D153" s="1"/>
      <c r="H153" s="2">
        <v>0.9159722222222223</v>
      </c>
      <c r="J153" s="1">
        <f t="shared" si="4"/>
        <v>2.7777777777777679E-3</v>
      </c>
      <c r="K153" s="1"/>
      <c r="N153" s="14"/>
      <c r="O153" s="17">
        <v>1.1666666666666359</v>
      </c>
      <c r="R153" s="17">
        <v>73.250000000000099</v>
      </c>
    </row>
    <row r="154" spans="1:18">
      <c r="A154" s="1">
        <v>0.89490740740740737</v>
      </c>
      <c r="C154" s="1">
        <f t="shared" si="5"/>
        <v>3.2407407407407662E-3</v>
      </c>
      <c r="D154" s="1"/>
      <c r="H154" s="1">
        <v>0.91875000000000007</v>
      </c>
      <c r="J154" s="1">
        <f t="shared" si="4"/>
        <v>6.9444444444444198E-4</v>
      </c>
      <c r="K154" s="1"/>
      <c r="N154" s="14"/>
      <c r="O154" s="17">
        <v>1.1666666666666359</v>
      </c>
      <c r="R154" s="17">
        <v>90</v>
      </c>
    </row>
    <row r="155" spans="1:18">
      <c r="A155" s="1">
        <v>0.89814814814814814</v>
      </c>
      <c r="C155" s="1">
        <f t="shared" si="5"/>
        <v>3.2407407407407662E-3</v>
      </c>
      <c r="D155" s="1"/>
      <c r="H155" s="1">
        <v>0.91944444444444451</v>
      </c>
      <c r="J155" s="1">
        <f t="shared" si="4"/>
        <v>6.9444444444444198E-4</v>
      </c>
      <c r="K155" s="1"/>
      <c r="N155" s="14"/>
      <c r="O155" s="17">
        <v>1.1666666666666359</v>
      </c>
      <c r="R155" s="17">
        <v>5.7499999999999396</v>
      </c>
    </row>
    <row r="156" spans="1:18">
      <c r="A156" s="10">
        <v>0.90138888888888891</v>
      </c>
      <c r="B156" s="11">
        <v>3</v>
      </c>
      <c r="C156" s="1">
        <f t="shared" si="5"/>
        <v>3.4722222222220989E-3</v>
      </c>
      <c r="D156" s="1"/>
      <c r="H156" s="1">
        <v>0.92013888888888895</v>
      </c>
      <c r="J156" s="1">
        <f t="shared" si="4"/>
        <v>6.9444444444444198E-4</v>
      </c>
      <c r="K156" s="1"/>
      <c r="N156" s="14"/>
      <c r="O156" s="17">
        <v>1.1666666666666359</v>
      </c>
      <c r="R156" s="17">
        <v>5.7500000000000995</v>
      </c>
    </row>
    <row r="157" spans="1:18">
      <c r="A157" s="1">
        <v>0.90486111111111101</v>
      </c>
      <c r="B157">
        <v>1</v>
      </c>
      <c r="C157" s="4"/>
      <c r="D157" s="1"/>
      <c r="H157" s="1">
        <v>0.92083333333333339</v>
      </c>
      <c r="J157" s="1">
        <f t="shared" si="4"/>
        <v>6.9444444444444198E-4</v>
      </c>
      <c r="K157" s="1"/>
      <c r="N157" s="14"/>
      <c r="O157" s="17">
        <v>14.999999999999947</v>
      </c>
      <c r="R157" s="17">
        <v>5.7500000000000995</v>
      </c>
    </row>
    <row r="158" spans="1:18">
      <c r="A158" s="4"/>
      <c r="B158" s="4"/>
      <c r="C158" s="4"/>
      <c r="D158" s="1"/>
      <c r="H158" s="10">
        <v>0.92152777777777783</v>
      </c>
      <c r="I158" s="19">
        <v>4</v>
      </c>
      <c r="K158" s="1"/>
      <c r="N158" s="14"/>
      <c r="O158" s="17">
        <v>4.6666666666667034</v>
      </c>
      <c r="R158" s="17">
        <v>5.7499999999999396</v>
      </c>
    </row>
    <row r="159" spans="1:18">
      <c r="A159" s="1">
        <v>0</v>
      </c>
      <c r="C159" s="1">
        <f>A160-A159</f>
        <v>2.7777777777777779E-3</v>
      </c>
      <c r="D159" s="1"/>
      <c r="H159" s="4"/>
      <c r="I159" s="21"/>
      <c r="K159" s="1"/>
      <c r="N159" s="14"/>
      <c r="O159" s="17">
        <v>4.6666666666667034</v>
      </c>
      <c r="R159" s="17">
        <v>5.0000000000001421</v>
      </c>
    </row>
    <row r="160" spans="1:18">
      <c r="A160" s="1">
        <v>2.7777777777777779E-3</v>
      </c>
      <c r="C160" s="1">
        <f t="shared" ref="C160:C223" si="6">A161-A160</f>
        <v>2.7777777777777779E-3</v>
      </c>
      <c r="D160" s="1"/>
      <c r="H160" s="1">
        <v>0</v>
      </c>
      <c r="J160" s="1">
        <f t="shared" ref="J160:J223" si="7">H161-H160</f>
        <v>2.0833333333333333E-3</v>
      </c>
      <c r="K160" s="1"/>
      <c r="N160" s="14"/>
      <c r="O160" s="17">
        <v>4.6666666666667034</v>
      </c>
      <c r="R160" s="17">
        <v>3.9999999999999858</v>
      </c>
    </row>
    <row r="161" spans="1:18">
      <c r="A161" s="1">
        <v>5.5555555555555558E-3</v>
      </c>
      <c r="C161" s="1">
        <f t="shared" si="6"/>
        <v>2.7777777777777775E-3</v>
      </c>
      <c r="D161" s="1"/>
      <c r="H161" s="1">
        <v>2.0833333333333333E-3</v>
      </c>
      <c r="J161" s="1">
        <f t="shared" si="7"/>
        <v>2.0833333333333333E-3</v>
      </c>
      <c r="K161" s="1"/>
      <c r="N161" s="14"/>
      <c r="O161" s="17">
        <v>4.9999999999998224</v>
      </c>
      <c r="R161" s="17">
        <v>0.99999999999999645</v>
      </c>
    </row>
    <row r="162" spans="1:18">
      <c r="A162" s="1">
        <v>8.3333333333333332E-3</v>
      </c>
      <c r="C162" s="1">
        <f t="shared" si="6"/>
        <v>2.7777777777777783E-3</v>
      </c>
      <c r="D162" s="1"/>
      <c r="H162" s="1">
        <v>4.1666666666666666E-3</v>
      </c>
      <c r="J162" s="1">
        <f t="shared" si="7"/>
        <v>2.0833333333333337E-3</v>
      </c>
      <c r="K162" s="1"/>
      <c r="N162" s="14"/>
      <c r="O162" s="17">
        <v>4</v>
      </c>
      <c r="R162" s="17">
        <v>0.99999999999999645</v>
      </c>
    </row>
    <row r="163" spans="1:18">
      <c r="A163" s="1">
        <v>1.1111111111111112E-2</v>
      </c>
      <c r="C163" s="1">
        <f t="shared" si="6"/>
        <v>2.7777777777777783E-3</v>
      </c>
      <c r="D163" s="1"/>
      <c r="H163" s="1">
        <v>6.2500000000000003E-3</v>
      </c>
      <c r="J163" s="1">
        <f t="shared" si="7"/>
        <v>2.0833333333333329E-3</v>
      </c>
      <c r="K163" s="1"/>
      <c r="N163" s="14"/>
      <c r="O163" s="17">
        <v>4</v>
      </c>
      <c r="R163" s="17">
        <v>0.99999999999999645</v>
      </c>
    </row>
    <row r="164" spans="1:18">
      <c r="A164" s="1">
        <v>1.388888888888889E-2</v>
      </c>
      <c r="C164" s="1">
        <f t="shared" si="6"/>
        <v>2.7777777777777766E-3</v>
      </c>
      <c r="D164" s="1"/>
      <c r="H164" s="1">
        <v>8.3333333333333332E-3</v>
      </c>
      <c r="J164" s="1">
        <f t="shared" si="7"/>
        <v>2.0833333333333329E-3</v>
      </c>
      <c r="K164" s="1"/>
      <c r="N164" s="14"/>
      <c r="O164" s="17">
        <v>4</v>
      </c>
      <c r="R164" s="17">
        <v>0.99999999999999645</v>
      </c>
    </row>
    <row r="165" spans="1:18">
      <c r="A165" s="1">
        <v>1.6666666666666666E-2</v>
      </c>
      <c r="C165" s="1">
        <f t="shared" si="6"/>
        <v>2.7777777777777783E-3</v>
      </c>
      <c r="D165" s="1"/>
      <c r="H165" s="10">
        <v>1.0416666666666666E-2</v>
      </c>
      <c r="I165" s="19">
        <v>5</v>
      </c>
      <c r="J165" s="1">
        <f t="shared" si="7"/>
        <v>9.7222222222222206E-3</v>
      </c>
      <c r="K165" s="1"/>
      <c r="N165" s="14"/>
      <c r="O165" s="17">
        <v>4</v>
      </c>
      <c r="R165" s="17">
        <v>3</v>
      </c>
    </row>
    <row r="166" spans="1:18">
      <c r="A166" s="10">
        <v>1.9444444444444445E-2</v>
      </c>
      <c r="B166" s="11">
        <v>7</v>
      </c>
      <c r="C166" s="1">
        <f t="shared" si="6"/>
        <v>5.5555555555555566E-3</v>
      </c>
      <c r="D166" s="1"/>
      <c r="H166" s="1">
        <v>2.0138888888888887E-2</v>
      </c>
      <c r="J166" s="1">
        <f t="shared" si="7"/>
        <v>9.7222222222222258E-3</v>
      </c>
      <c r="K166" s="1"/>
      <c r="N166" s="14"/>
      <c r="O166" s="17">
        <v>4</v>
      </c>
      <c r="R166" s="17">
        <v>3</v>
      </c>
    </row>
    <row r="167" spans="1:18">
      <c r="A167" s="1">
        <v>2.5000000000000001E-2</v>
      </c>
      <c r="C167" s="1">
        <f t="shared" si="6"/>
        <v>5.5555555555555566E-3</v>
      </c>
      <c r="D167" s="1"/>
      <c r="H167" s="10">
        <v>2.9861111111111113E-2</v>
      </c>
      <c r="I167" s="19">
        <v>2</v>
      </c>
      <c r="J167" s="1">
        <f t="shared" si="7"/>
        <v>3.9351851851851839E-3</v>
      </c>
      <c r="K167" s="1"/>
      <c r="N167" s="14"/>
      <c r="O167" s="17">
        <v>3.9999999999999982</v>
      </c>
      <c r="R167" s="17">
        <v>3.0000000000000009</v>
      </c>
    </row>
    <row r="168" spans="1:18">
      <c r="A168" s="1">
        <v>3.0555555555555558E-2</v>
      </c>
      <c r="C168" s="1">
        <f t="shared" si="6"/>
        <v>5.5555555555555566E-3</v>
      </c>
      <c r="D168" s="1"/>
      <c r="H168" s="1">
        <v>3.3796296296296297E-2</v>
      </c>
      <c r="J168" s="1">
        <f t="shared" si="7"/>
        <v>3.9351851851851805E-3</v>
      </c>
      <c r="K168" s="1"/>
      <c r="N168" s="14"/>
      <c r="O168" s="17">
        <v>4</v>
      </c>
      <c r="R168" s="17">
        <v>2.9999999999999991</v>
      </c>
    </row>
    <row r="169" spans="1:18">
      <c r="A169" s="10">
        <v>3.6111111111111115E-2</v>
      </c>
      <c r="B169" s="11">
        <v>3</v>
      </c>
      <c r="C169" s="1">
        <f t="shared" si="6"/>
        <v>7.6388888888888895E-3</v>
      </c>
      <c r="D169" s="1"/>
      <c r="H169" s="1">
        <v>3.7731481481481477E-2</v>
      </c>
      <c r="J169" s="1">
        <f t="shared" si="7"/>
        <v>3.9351851851851874E-3</v>
      </c>
      <c r="K169" s="1"/>
      <c r="N169" s="14"/>
      <c r="O169" s="17">
        <v>8</v>
      </c>
      <c r="R169" s="17">
        <v>2.9999999999999991</v>
      </c>
    </row>
    <row r="170" spans="1:18">
      <c r="A170" s="1">
        <v>4.3750000000000004E-2</v>
      </c>
      <c r="C170" s="1">
        <f t="shared" si="6"/>
        <v>7.6388888888888895E-3</v>
      </c>
      <c r="D170" s="1"/>
      <c r="H170" s="10">
        <v>4.1666666666666664E-2</v>
      </c>
      <c r="I170" s="19">
        <v>3</v>
      </c>
      <c r="J170" s="1">
        <f t="shared" si="7"/>
        <v>8.0555555555555589E-3</v>
      </c>
      <c r="K170" s="1"/>
      <c r="N170" s="14"/>
      <c r="O170" s="17">
        <v>8</v>
      </c>
      <c r="R170" s="17">
        <v>13.999999999999998</v>
      </c>
    </row>
    <row r="171" spans="1:18">
      <c r="A171" s="1">
        <v>5.1388888888888894E-2</v>
      </c>
      <c r="C171" s="1">
        <f t="shared" si="6"/>
        <v>7.6388888888888895E-3</v>
      </c>
      <c r="D171" s="1"/>
      <c r="H171" s="1">
        <v>4.9722222222222223E-2</v>
      </c>
      <c r="J171" s="1">
        <f t="shared" si="7"/>
        <v>8.0555555555555519E-3</v>
      </c>
      <c r="K171" s="1"/>
      <c r="N171" s="14"/>
      <c r="O171" s="17">
        <v>8</v>
      </c>
      <c r="R171" s="17">
        <v>14.000000000000007</v>
      </c>
    </row>
    <row r="172" spans="1:18">
      <c r="A172" s="1">
        <v>5.9027777777777783E-2</v>
      </c>
      <c r="C172" s="1">
        <f t="shared" si="6"/>
        <v>7.6388888888888826E-3</v>
      </c>
      <c r="D172" s="1"/>
      <c r="H172" s="1">
        <v>5.7777777777777775E-2</v>
      </c>
      <c r="J172" s="1">
        <f t="shared" si="7"/>
        <v>8.0555555555555519E-3</v>
      </c>
      <c r="K172" s="1"/>
      <c r="N172" s="14"/>
      <c r="O172" s="17">
        <v>11</v>
      </c>
      <c r="R172" s="17">
        <v>5.6666666666666652</v>
      </c>
    </row>
    <row r="173" spans="1:18">
      <c r="A173" s="1">
        <v>6.6666666666666666E-2</v>
      </c>
      <c r="C173" s="1">
        <f t="shared" si="6"/>
        <v>7.6388888888888895E-3</v>
      </c>
      <c r="D173" s="1"/>
      <c r="H173" s="1">
        <v>6.5833333333333327E-2</v>
      </c>
      <c r="J173" s="1">
        <f t="shared" si="7"/>
        <v>8.0555555555555519E-3</v>
      </c>
      <c r="K173" s="1"/>
      <c r="N173" s="14"/>
      <c r="O173" s="17">
        <v>11</v>
      </c>
      <c r="R173" s="17">
        <v>5.6666666666666599</v>
      </c>
    </row>
    <row r="174" spans="1:18">
      <c r="A174" s="10">
        <v>7.4305555555555555E-2</v>
      </c>
      <c r="B174" s="11">
        <v>5</v>
      </c>
      <c r="C174" s="1">
        <f t="shared" si="6"/>
        <v>4.8611111111111077E-3</v>
      </c>
      <c r="D174" s="1"/>
      <c r="H174" s="1">
        <v>7.3888888888888879E-2</v>
      </c>
      <c r="J174" s="1">
        <f t="shared" si="7"/>
        <v>8.0555555555555658E-3</v>
      </c>
      <c r="K174" s="1"/>
      <c r="N174" s="14"/>
      <c r="O174" s="17">
        <v>11</v>
      </c>
      <c r="R174" s="17">
        <v>5.6666666666666696</v>
      </c>
    </row>
    <row r="175" spans="1:18">
      <c r="A175" s="1">
        <v>7.9166666666666663E-2</v>
      </c>
      <c r="C175" s="1">
        <f t="shared" si="6"/>
        <v>4.8611111111111077E-3</v>
      </c>
      <c r="D175" s="1"/>
      <c r="H175" s="10">
        <v>8.1944444444444445E-2</v>
      </c>
      <c r="I175" s="19">
        <v>5</v>
      </c>
      <c r="J175" s="1">
        <f t="shared" si="7"/>
        <v>5.0347222222222182E-3</v>
      </c>
      <c r="K175" s="1"/>
      <c r="N175" s="14"/>
      <c r="O175" s="17">
        <v>10.999999999999989</v>
      </c>
      <c r="R175" s="17">
        <v>11.600000000000005</v>
      </c>
    </row>
    <row r="176" spans="1:18">
      <c r="A176" s="1">
        <v>8.4027777777777771E-2</v>
      </c>
      <c r="C176" s="1">
        <f t="shared" si="6"/>
        <v>4.8611111111111077E-3</v>
      </c>
      <c r="D176" s="1"/>
      <c r="H176" s="1">
        <v>8.6979166666666663E-2</v>
      </c>
      <c r="J176" s="1">
        <f t="shared" si="7"/>
        <v>5.0347222222222321E-3</v>
      </c>
      <c r="K176" s="1"/>
      <c r="N176" s="14"/>
      <c r="O176" s="17">
        <v>11</v>
      </c>
      <c r="R176" s="17">
        <v>11.599999999999994</v>
      </c>
    </row>
    <row r="177" spans="1:18">
      <c r="A177" s="1">
        <v>8.8888888888888878E-2</v>
      </c>
      <c r="C177" s="1">
        <f t="shared" si="6"/>
        <v>4.8611111111111216E-3</v>
      </c>
      <c r="D177" s="1"/>
      <c r="H177" s="1">
        <v>9.2013888888888895E-2</v>
      </c>
      <c r="J177" s="1">
        <f t="shared" si="7"/>
        <v>5.0347222222222321E-3</v>
      </c>
      <c r="K177" s="1"/>
      <c r="N177" s="14"/>
      <c r="O177" s="17">
        <v>6.9999999999999947</v>
      </c>
      <c r="R177" s="17">
        <v>11.599999999999994</v>
      </c>
    </row>
    <row r="178" spans="1:18">
      <c r="A178" s="10">
        <v>9.375E-2</v>
      </c>
      <c r="B178" s="11">
        <v>4</v>
      </c>
      <c r="C178" s="1">
        <f t="shared" si="6"/>
        <v>8.3333333333333454E-3</v>
      </c>
      <c r="D178" s="1"/>
      <c r="H178" s="1">
        <v>9.7048611111111127E-2</v>
      </c>
      <c r="J178" s="1">
        <f t="shared" si="7"/>
        <v>1.258680555555558E-3</v>
      </c>
      <c r="K178" s="1"/>
      <c r="N178" s="14"/>
      <c r="O178" s="17">
        <v>6.9999999999999947</v>
      </c>
      <c r="R178" s="17">
        <v>11.599999999999994</v>
      </c>
    </row>
    <row r="179" spans="1:18">
      <c r="A179" s="1">
        <v>0.10208333333333335</v>
      </c>
      <c r="C179" s="1">
        <f t="shared" si="6"/>
        <v>2.4305555555555469E-3</v>
      </c>
      <c r="D179" s="1"/>
      <c r="H179" s="1">
        <v>9.8307291666666685E-2</v>
      </c>
      <c r="J179" s="1">
        <f t="shared" si="7"/>
        <v>1.258680555555558E-3</v>
      </c>
      <c r="K179" s="1"/>
      <c r="N179" s="14"/>
      <c r="O179" s="17">
        <v>6.9999999999999947</v>
      </c>
      <c r="R179" s="17">
        <v>11.600000000000016</v>
      </c>
    </row>
    <row r="180" spans="1:18">
      <c r="A180" s="1">
        <v>0.10451388888888889</v>
      </c>
      <c r="C180" s="1">
        <f t="shared" si="6"/>
        <v>2.4305555555555469E-3</v>
      </c>
      <c r="D180" s="1"/>
      <c r="H180" s="1">
        <v>9.9565972222222243E-2</v>
      </c>
      <c r="J180" s="1">
        <f t="shared" si="7"/>
        <v>1.258680555555558E-3</v>
      </c>
      <c r="K180" s="1"/>
      <c r="N180" s="14"/>
      <c r="O180" s="17">
        <v>7.0000000000000151</v>
      </c>
      <c r="R180" s="17">
        <v>7.2499999999999947</v>
      </c>
    </row>
    <row r="181" spans="1:18">
      <c r="A181" s="1">
        <v>0.10694444444444444</v>
      </c>
      <c r="C181" s="1">
        <f t="shared" si="6"/>
        <v>2.4305555555555469E-3</v>
      </c>
      <c r="D181" s="1"/>
      <c r="H181" s="1">
        <v>0.1008246527777778</v>
      </c>
      <c r="J181" s="1">
        <f t="shared" si="7"/>
        <v>1.2586805555555441E-3</v>
      </c>
      <c r="K181" s="1"/>
      <c r="N181" s="14"/>
      <c r="O181" s="17">
        <v>12.000000000000016</v>
      </c>
      <c r="R181" s="17">
        <v>7.2500000000000142</v>
      </c>
    </row>
    <row r="182" spans="1:18">
      <c r="A182" s="1">
        <v>0.10937499999999999</v>
      </c>
      <c r="C182" s="1">
        <f t="shared" si="6"/>
        <v>2.4305555555555469E-3</v>
      </c>
      <c r="D182" s="1"/>
      <c r="H182" s="10">
        <v>0.10208333333333335</v>
      </c>
      <c r="I182" s="19">
        <v>4</v>
      </c>
      <c r="J182" s="1">
        <f t="shared" si="7"/>
        <v>7.6388888888888756E-3</v>
      </c>
      <c r="K182" s="1"/>
      <c r="N182" s="14"/>
      <c r="O182" s="17">
        <v>3.4999999999999876</v>
      </c>
      <c r="R182" s="17">
        <v>7.2500000000000142</v>
      </c>
    </row>
    <row r="183" spans="1:18">
      <c r="A183" s="1">
        <v>0.11180555555555553</v>
      </c>
      <c r="C183" s="1">
        <f t="shared" si="6"/>
        <v>2.4305555555555469E-3</v>
      </c>
      <c r="D183" s="1"/>
      <c r="H183" s="1">
        <v>0.10972222222222222</v>
      </c>
      <c r="I183" s="17">
        <v>1</v>
      </c>
      <c r="J183" s="1">
        <f t="shared" si="7"/>
        <v>3.1250000000000028E-3</v>
      </c>
      <c r="K183" s="1"/>
      <c r="N183" s="14"/>
      <c r="O183" s="17">
        <v>3.4999999999999876</v>
      </c>
      <c r="R183" s="17">
        <v>1.8125000000000036</v>
      </c>
    </row>
    <row r="184" spans="1:18">
      <c r="A184" s="1">
        <v>0.11423611111111108</v>
      </c>
      <c r="C184" s="1">
        <f t="shared" si="6"/>
        <v>2.4305555555555747E-3</v>
      </c>
      <c r="D184" s="1"/>
      <c r="H184" s="1">
        <v>0.11284722222222222</v>
      </c>
      <c r="J184" s="1">
        <f t="shared" si="7"/>
        <v>3.1250000000000028E-3</v>
      </c>
      <c r="K184" s="1"/>
      <c r="N184" s="14"/>
      <c r="O184" s="17">
        <v>3.4999999999999876</v>
      </c>
      <c r="R184" s="17">
        <v>1.8125000000000036</v>
      </c>
    </row>
    <row r="185" spans="1:18">
      <c r="A185" s="10">
        <v>0.11666666666666665</v>
      </c>
      <c r="B185" s="11">
        <v>6</v>
      </c>
      <c r="C185" s="1">
        <f t="shared" si="6"/>
        <v>8.5069444444444559E-3</v>
      </c>
      <c r="D185" s="1"/>
      <c r="H185" s="1">
        <v>0.11597222222222223</v>
      </c>
      <c r="J185" s="1">
        <f t="shared" si="7"/>
        <v>3.1250000000000028E-3</v>
      </c>
      <c r="K185" s="1"/>
      <c r="N185" s="14"/>
      <c r="O185" s="17">
        <v>3.4999999999999876</v>
      </c>
      <c r="R185" s="17">
        <v>1.8125000000000036</v>
      </c>
    </row>
    <row r="186" spans="1:18">
      <c r="A186" s="1">
        <v>0.12517361111111111</v>
      </c>
      <c r="C186" s="1">
        <f t="shared" si="6"/>
        <v>8.506944444444442E-3</v>
      </c>
      <c r="D186" s="1"/>
      <c r="H186" s="1">
        <v>0.11909722222222223</v>
      </c>
      <c r="J186" s="1">
        <f t="shared" si="7"/>
        <v>3.1250000000000028E-3</v>
      </c>
      <c r="K186" s="1"/>
      <c r="N186" s="14"/>
      <c r="O186" s="17">
        <v>3.4999999999999876</v>
      </c>
      <c r="R186" s="17">
        <v>1.8124999999999836</v>
      </c>
    </row>
    <row r="187" spans="1:18">
      <c r="A187" s="1">
        <v>0.13368055555555555</v>
      </c>
      <c r="C187" s="1">
        <f t="shared" si="6"/>
        <v>8.506944444444442E-3</v>
      </c>
      <c r="D187" s="1"/>
      <c r="H187" s="1">
        <v>0.12222222222222223</v>
      </c>
      <c r="J187" s="1">
        <f t="shared" si="7"/>
        <v>3.1249999999999889E-3</v>
      </c>
      <c r="K187" s="1"/>
      <c r="N187" s="14"/>
      <c r="O187" s="17">
        <v>3.5000000000000275</v>
      </c>
      <c r="R187" s="17">
        <v>10.99999999999998</v>
      </c>
    </row>
    <row r="188" spans="1:18">
      <c r="A188" s="1">
        <v>0.14218749999999999</v>
      </c>
      <c r="C188" s="1">
        <f t="shared" si="6"/>
        <v>8.506944444444442E-3</v>
      </c>
      <c r="D188" s="1"/>
      <c r="H188" s="1">
        <v>0.12534722222222222</v>
      </c>
      <c r="J188" s="1">
        <f t="shared" si="7"/>
        <v>3.1250000000000167E-3</v>
      </c>
      <c r="K188" s="1"/>
      <c r="N188" s="14"/>
      <c r="O188" s="17">
        <v>12.250000000000018</v>
      </c>
      <c r="R188" s="17">
        <v>4.5000000000000036</v>
      </c>
    </row>
    <row r="189" spans="1:18">
      <c r="A189" s="10">
        <v>0.15069444444444444</v>
      </c>
      <c r="B189" s="11">
        <v>4</v>
      </c>
      <c r="C189" s="1">
        <f t="shared" si="6"/>
        <v>4.1666666666666796E-3</v>
      </c>
      <c r="D189" s="1"/>
      <c r="H189" s="10">
        <v>0.12847222222222224</v>
      </c>
      <c r="I189" s="19">
        <v>6</v>
      </c>
      <c r="J189" s="1">
        <f t="shared" si="7"/>
        <v>1.2499999999999983E-2</v>
      </c>
      <c r="K189" s="1"/>
      <c r="N189" s="14"/>
      <c r="O189" s="17">
        <v>12.249999999999996</v>
      </c>
      <c r="R189" s="17">
        <v>4.5000000000000036</v>
      </c>
    </row>
    <row r="190" spans="1:18">
      <c r="A190" s="1">
        <v>0.15486111111111112</v>
      </c>
      <c r="C190" s="1">
        <f t="shared" si="6"/>
        <v>4.1666666666666519E-3</v>
      </c>
      <c r="D190" s="1"/>
      <c r="H190" s="1">
        <v>0.14097222222222222</v>
      </c>
      <c r="J190" s="1">
        <f t="shared" si="7"/>
        <v>1.2500000000000011E-2</v>
      </c>
      <c r="K190" s="1"/>
      <c r="N190" s="14"/>
      <c r="O190" s="17">
        <v>12.249999999999996</v>
      </c>
      <c r="R190" s="17">
        <v>4.5000000000000036</v>
      </c>
    </row>
    <row r="191" spans="1:18">
      <c r="A191" s="10">
        <v>0.15902777777777777</v>
      </c>
      <c r="B191" s="11">
        <v>2</v>
      </c>
      <c r="C191" s="1">
        <f t="shared" si="6"/>
        <v>2.1527777777777812E-3</v>
      </c>
      <c r="D191" s="1"/>
      <c r="H191" s="10">
        <v>0.15347222222222223</v>
      </c>
      <c r="I191" s="19">
        <v>2</v>
      </c>
      <c r="J191" s="1">
        <f t="shared" si="7"/>
        <v>3.5416666666666652E-3</v>
      </c>
      <c r="K191" s="1"/>
      <c r="N191" s="14"/>
      <c r="O191" s="17">
        <v>12.249999999999996</v>
      </c>
      <c r="R191" s="17">
        <v>4.5000000000000036</v>
      </c>
    </row>
    <row r="192" spans="1:18">
      <c r="A192" s="1">
        <v>0.16118055555555555</v>
      </c>
      <c r="C192" s="1">
        <f t="shared" si="6"/>
        <v>2.1527777777777812E-3</v>
      </c>
      <c r="D192" s="1"/>
      <c r="H192" s="1">
        <v>0.1570138888888889</v>
      </c>
      <c r="J192" s="1">
        <f t="shared" si="7"/>
        <v>3.5416666666666652E-3</v>
      </c>
      <c r="K192" s="1"/>
      <c r="N192" s="14"/>
      <c r="O192" s="17">
        <v>6.0000000000000187</v>
      </c>
      <c r="R192" s="17">
        <v>4.499999999999984</v>
      </c>
    </row>
    <row r="193" spans="1:18">
      <c r="A193" s="1">
        <v>0.16333333333333333</v>
      </c>
      <c r="C193" s="1">
        <f t="shared" si="6"/>
        <v>2.1527777777777812E-3</v>
      </c>
      <c r="D193" s="1"/>
      <c r="H193" s="1">
        <v>0.16055555555555556</v>
      </c>
      <c r="J193" s="1">
        <f t="shared" si="7"/>
        <v>3.5416666666666652E-3</v>
      </c>
      <c r="K193" s="1"/>
      <c r="N193" s="14"/>
      <c r="O193" s="17">
        <v>5.9999999999999787</v>
      </c>
      <c r="R193" s="17">
        <v>4.500000000000024</v>
      </c>
    </row>
    <row r="194" spans="1:18">
      <c r="A194" s="1">
        <v>0.16548611111111111</v>
      </c>
      <c r="C194" s="1">
        <f t="shared" si="6"/>
        <v>2.1527777777777812E-3</v>
      </c>
      <c r="D194" s="1"/>
      <c r="H194" s="1">
        <v>0.16409722222222223</v>
      </c>
      <c r="J194" s="1">
        <f t="shared" si="7"/>
        <v>3.5416666666666652E-3</v>
      </c>
      <c r="K194" s="1"/>
      <c r="N194" s="14"/>
      <c r="O194" s="17">
        <v>3.100000000000005</v>
      </c>
      <c r="R194" s="17">
        <v>17.999999999999975</v>
      </c>
    </row>
    <row r="195" spans="1:18">
      <c r="A195" s="1">
        <v>0.16763888888888889</v>
      </c>
      <c r="C195" s="1">
        <f t="shared" si="6"/>
        <v>2.1527777777777812E-3</v>
      </c>
      <c r="D195" s="1"/>
      <c r="H195" s="1">
        <v>0.16763888888888889</v>
      </c>
      <c r="J195" s="1">
        <f t="shared" si="7"/>
        <v>3.5416666666666652E-3</v>
      </c>
      <c r="K195" s="1"/>
      <c r="N195" s="14"/>
      <c r="O195" s="17">
        <v>3.100000000000005</v>
      </c>
      <c r="R195" s="17">
        <v>18.000000000000014</v>
      </c>
    </row>
    <row r="196" spans="1:18">
      <c r="A196" s="1">
        <v>0.16979166666666667</v>
      </c>
      <c r="C196" s="1">
        <f t="shared" si="6"/>
        <v>2.1527777777777812E-3</v>
      </c>
      <c r="D196" s="1"/>
      <c r="H196" s="1">
        <v>0.17118055555555556</v>
      </c>
      <c r="J196" s="1">
        <f t="shared" si="7"/>
        <v>3.5416666666666652E-3</v>
      </c>
      <c r="K196" s="1"/>
      <c r="N196" s="14"/>
      <c r="O196" s="17">
        <v>3.100000000000005</v>
      </c>
      <c r="R196" s="17">
        <v>5.0999999999999979</v>
      </c>
    </row>
    <row r="197" spans="1:18">
      <c r="A197" s="1">
        <v>0.17194444444444446</v>
      </c>
      <c r="C197" s="1">
        <f t="shared" si="6"/>
        <v>2.1527777777777812E-3</v>
      </c>
      <c r="D197" s="1"/>
      <c r="H197" s="1">
        <v>0.17472222222222222</v>
      </c>
      <c r="J197" s="1">
        <f t="shared" si="7"/>
        <v>3.5416666666666652E-3</v>
      </c>
      <c r="K197" s="1"/>
      <c r="N197" s="14"/>
      <c r="O197" s="17">
        <v>3.100000000000005</v>
      </c>
      <c r="R197" s="17">
        <v>5.0999999999999979</v>
      </c>
    </row>
    <row r="198" spans="1:18">
      <c r="A198" s="1">
        <v>0.17409722222222224</v>
      </c>
      <c r="C198" s="1">
        <f t="shared" si="6"/>
        <v>2.1527777777777812E-3</v>
      </c>
      <c r="D198" s="1"/>
      <c r="H198" s="1">
        <v>0.17826388888888889</v>
      </c>
      <c r="J198" s="1">
        <f t="shared" si="7"/>
        <v>3.5416666666666652E-3</v>
      </c>
      <c r="K198" s="1"/>
      <c r="N198" s="14"/>
      <c r="O198" s="17">
        <v>3.100000000000005</v>
      </c>
      <c r="R198" s="17">
        <v>5.0999999999999979</v>
      </c>
    </row>
    <row r="199" spans="1:18">
      <c r="A199" s="1">
        <v>0.17625000000000002</v>
      </c>
      <c r="C199" s="1">
        <f t="shared" si="6"/>
        <v>2.1527777777777812E-3</v>
      </c>
      <c r="D199" s="1"/>
      <c r="H199" s="1">
        <v>0.18180555555555555</v>
      </c>
      <c r="J199" s="1">
        <f t="shared" si="7"/>
        <v>3.5416666666666652E-3</v>
      </c>
      <c r="K199" s="1"/>
      <c r="N199" s="14"/>
      <c r="O199" s="17">
        <v>3.100000000000005</v>
      </c>
      <c r="R199" s="17">
        <v>5.0999999999999979</v>
      </c>
    </row>
    <row r="200" spans="1:18">
      <c r="A200" s="1">
        <v>0.1784027777777778</v>
      </c>
      <c r="C200" s="1">
        <f t="shared" si="6"/>
        <v>2.1527777777777535E-3</v>
      </c>
      <c r="D200" s="1"/>
      <c r="H200" s="1">
        <v>0.18534722222222222</v>
      </c>
      <c r="J200" s="1">
        <f t="shared" si="7"/>
        <v>3.5416666666666652E-3</v>
      </c>
      <c r="K200" s="1"/>
      <c r="N200" s="14"/>
      <c r="O200" s="17">
        <v>3.100000000000005</v>
      </c>
      <c r="R200" s="17">
        <v>5.0999999999999979</v>
      </c>
    </row>
    <row r="201" spans="1:18">
      <c r="A201" s="10">
        <v>0.18055555555555555</v>
      </c>
      <c r="B201" s="11">
        <v>10</v>
      </c>
      <c r="C201" s="1">
        <f t="shared" si="6"/>
        <v>9.0277777777777735E-3</v>
      </c>
      <c r="D201" s="1"/>
      <c r="H201" s="10">
        <v>0.18888888888888888</v>
      </c>
      <c r="I201" s="19">
        <v>10</v>
      </c>
      <c r="J201" s="1">
        <f t="shared" si="7"/>
        <v>5.5555555555555636E-3</v>
      </c>
      <c r="K201" s="1"/>
      <c r="N201" s="14"/>
      <c r="O201" s="17">
        <v>3.100000000000005</v>
      </c>
      <c r="R201" s="17">
        <v>5.0999999999999979</v>
      </c>
    </row>
    <row r="202" spans="1:18">
      <c r="A202" s="1">
        <v>0.18958333333333333</v>
      </c>
      <c r="C202" s="1">
        <f t="shared" si="6"/>
        <v>9.0277777777777735E-3</v>
      </c>
      <c r="D202" s="1"/>
      <c r="H202" s="1">
        <v>0.19444444444444445</v>
      </c>
      <c r="J202" s="1">
        <f t="shared" si="7"/>
        <v>6.2499999999999778E-3</v>
      </c>
      <c r="K202" s="1"/>
      <c r="N202" s="14"/>
      <c r="O202" s="17">
        <v>3.100000000000005</v>
      </c>
      <c r="R202" s="17">
        <v>5.0999999999999979</v>
      </c>
    </row>
    <row r="203" spans="1:18">
      <c r="A203" s="10">
        <v>0.1986111111111111</v>
      </c>
      <c r="B203" s="11">
        <v>2</v>
      </c>
      <c r="C203" s="1">
        <f t="shared" si="6"/>
        <v>6.9444444444444198E-4</v>
      </c>
      <c r="D203" s="1"/>
      <c r="H203" s="10">
        <v>0.20069444444444443</v>
      </c>
      <c r="I203" s="19">
        <v>2</v>
      </c>
      <c r="J203" s="1">
        <f t="shared" si="7"/>
        <v>1.3888888888888923E-2</v>
      </c>
      <c r="K203" s="1"/>
      <c r="N203" s="14"/>
      <c r="O203" s="17">
        <v>3.099999999999965</v>
      </c>
      <c r="R203" s="17">
        <v>5.0999999999999979</v>
      </c>
    </row>
    <row r="204" spans="1:18">
      <c r="A204" s="1">
        <v>0.19930555555555554</v>
      </c>
      <c r="C204" s="1">
        <f t="shared" si="6"/>
        <v>1.388888888888884E-3</v>
      </c>
      <c r="D204" s="1"/>
      <c r="H204" s="1">
        <v>0.21458333333333335</v>
      </c>
      <c r="J204" s="1">
        <f t="shared" si="7"/>
        <v>1.4583333333333309E-2</v>
      </c>
      <c r="K204" s="1"/>
      <c r="N204" s="14"/>
      <c r="O204" s="17">
        <v>12.999999999999993</v>
      </c>
      <c r="R204" s="17">
        <v>5.0999999999999979</v>
      </c>
    </row>
    <row r="205" spans="1:18">
      <c r="A205" s="10">
        <v>0.20069444444444443</v>
      </c>
      <c r="B205" s="11">
        <v>2</v>
      </c>
      <c r="C205" s="1">
        <f t="shared" si="6"/>
        <v>7.0601851851851971E-3</v>
      </c>
      <c r="D205" s="1"/>
      <c r="H205" s="10">
        <v>0.22916666666666666</v>
      </c>
      <c r="I205" s="19">
        <v>2</v>
      </c>
      <c r="J205" s="1">
        <f t="shared" si="7"/>
        <v>3.4722222222222376E-3</v>
      </c>
      <c r="K205" s="1"/>
      <c r="N205" s="14"/>
      <c r="O205" s="17">
        <v>12.999999999999993</v>
      </c>
      <c r="R205" s="17">
        <v>5.0999999999999979</v>
      </c>
    </row>
    <row r="206" spans="1:18">
      <c r="A206" s="1">
        <v>0.20775462962962962</v>
      </c>
      <c r="C206" s="1">
        <f t="shared" si="6"/>
        <v>7.0601851851851971E-3</v>
      </c>
      <c r="D206" s="1"/>
      <c r="H206" s="1">
        <v>0.2326388888888889</v>
      </c>
      <c r="J206" s="1">
        <f t="shared" si="7"/>
        <v>3.4722222222222099E-3</v>
      </c>
      <c r="K206" s="1"/>
      <c r="N206" s="14"/>
      <c r="O206" s="17">
        <v>0.99999999999999645</v>
      </c>
      <c r="R206" s="17">
        <v>8.0000000000000107</v>
      </c>
    </row>
    <row r="207" spans="1:18">
      <c r="A207" s="1">
        <v>0.21481481481481482</v>
      </c>
      <c r="C207" s="1">
        <f t="shared" si="6"/>
        <v>7.0601851851851971E-3</v>
      </c>
      <c r="D207" s="1"/>
      <c r="H207" s="1">
        <v>0.2361111111111111</v>
      </c>
      <c r="J207" s="1">
        <f t="shared" si="7"/>
        <v>3.4722222222222099E-3</v>
      </c>
      <c r="K207" s="1"/>
      <c r="N207" s="14"/>
      <c r="O207" s="17">
        <v>1.9999999999999929</v>
      </c>
      <c r="R207" s="17">
        <v>8.999999999999968</v>
      </c>
    </row>
    <row r="208" spans="1:18">
      <c r="A208" s="1">
        <v>0.22187500000000002</v>
      </c>
      <c r="C208" s="1">
        <f t="shared" si="6"/>
        <v>7.0601851851851971E-3</v>
      </c>
      <c r="D208" s="1"/>
      <c r="H208" s="1">
        <v>0.23958333333333331</v>
      </c>
      <c r="J208" s="1">
        <f t="shared" si="7"/>
        <v>3.4722222222222099E-3</v>
      </c>
      <c r="K208" s="1"/>
      <c r="N208" s="14"/>
      <c r="O208" s="17">
        <v>10.166666666666684</v>
      </c>
      <c r="R208" s="17">
        <v>20.00000000000005</v>
      </c>
    </row>
    <row r="209" spans="1:18">
      <c r="A209" s="1">
        <v>0.22893518518518521</v>
      </c>
      <c r="C209" s="1">
        <f t="shared" si="6"/>
        <v>7.0601851851851971E-3</v>
      </c>
      <c r="D209" s="1"/>
      <c r="H209" s="1">
        <v>0.24305555555555552</v>
      </c>
      <c r="J209" s="1">
        <f t="shared" si="7"/>
        <v>3.4722222222222099E-3</v>
      </c>
      <c r="K209" s="1"/>
      <c r="N209" s="14"/>
      <c r="O209" s="17">
        <v>10.166666666666684</v>
      </c>
      <c r="R209" s="17">
        <v>20.999999999999964</v>
      </c>
    </row>
    <row r="210" spans="1:18">
      <c r="A210" s="1">
        <v>0.23599537037037041</v>
      </c>
      <c r="C210" s="1">
        <f t="shared" si="6"/>
        <v>7.0601851851851416E-3</v>
      </c>
      <c r="D210" s="1"/>
      <c r="H210" s="1">
        <v>0.24652777777777773</v>
      </c>
      <c r="J210" s="1">
        <f t="shared" si="7"/>
        <v>3.4722222222222654E-3</v>
      </c>
      <c r="K210" s="1"/>
      <c r="N210" s="14"/>
      <c r="O210" s="17">
        <v>10.166666666666684</v>
      </c>
      <c r="R210" s="17">
        <v>5.0000000000000222</v>
      </c>
    </row>
    <row r="211" spans="1:18">
      <c r="A211" s="10">
        <v>0.24305555555555555</v>
      </c>
      <c r="B211" s="11">
        <v>6</v>
      </c>
      <c r="C211" s="1">
        <f t="shared" si="6"/>
        <v>2.3989898989899006E-3</v>
      </c>
      <c r="D211" s="1"/>
      <c r="H211" s="10">
        <v>0.25</v>
      </c>
      <c r="I211" s="19">
        <v>6</v>
      </c>
      <c r="J211" s="1">
        <f t="shared" si="7"/>
        <v>2.7146464646464752E-3</v>
      </c>
      <c r="K211" s="1"/>
      <c r="N211" s="14"/>
      <c r="O211" s="17">
        <v>10.166666666666684</v>
      </c>
      <c r="R211" s="17">
        <v>4.9999999999999822</v>
      </c>
    </row>
    <row r="212" spans="1:18">
      <c r="A212" s="1">
        <v>0.24545454545454545</v>
      </c>
      <c r="C212" s="1">
        <f t="shared" si="6"/>
        <v>2.3989898989899006E-3</v>
      </c>
      <c r="D212" s="1"/>
      <c r="H212" s="1">
        <v>0.25271464646464648</v>
      </c>
      <c r="J212" s="1">
        <f t="shared" si="7"/>
        <v>2.7146464646464752E-3</v>
      </c>
      <c r="K212" s="1"/>
      <c r="N212" s="14"/>
      <c r="O212" s="17">
        <v>10.166666666666684</v>
      </c>
      <c r="R212" s="17">
        <v>4.9999999999999822</v>
      </c>
    </row>
    <row r="213" spans="1:18">
      <c r="A213" s="1">
        <v>0.24785353535353535</v>
      </c>
      <c r="C213" s="1">
        <f t="shared" si="6"/>
        <v>2.3989898989898728E-3</v>
      </c>
      <c r="D213" s="1"/>
      <c r="H213" s="1">
        <v>0.25542929292929295</v>
      </c>
      <c r="J213" s="1">
        <f t="shared" si="7"/>
        <v>2.7146464646464752E-3</v>
      </c>
      <c r="K213" s="1"/>
      <c r="N213" s="14"/>
      <c r="O213" s="17">
        <v>10.166666666666604</v>
      </c>
      <c r="R213" s="17">
        <v>4.9999999999999822</v>
      </c>
    </row>
    <row r="214" spans="1:18">
      <c r="A214" s="1">
        <v>0.25025252525252523</v>
      </c>
      <c r="C214" s="1">
        <f t="shared" si="6"/>
        <v>2.3989898989899006E-3</v>
      </c>
      <c r="D214" s="1"/>
      <c r="H214" s="1">
        <v>0.25814393939393943</v>
      </c>
      <c r="J214" s="1">
        <f t="shared" si="7"/>
        <v>2.7146464646464752E-3</v>
      </c>
      <c r="K214" s="1"/>
      <c r="N214" s="14"/>
      <c r="O214" s="17">
        <v>3.4545454545454568</v>
      </c>
      <c r="R214" s="17">
        <v>4.9999999999999822</v>
      </c>
    </row>
    <row r="215" spans="1:18">
      <c r="A215" s="1">
        <v>0.25265151515151513</v>
      </c>
      <c r="C215" s="1">
        <f t="shared" si="6"/>
        <v>2.3989898989899006E-3</v>
      </c>
      <c r="D215" s="1"/>
      <c r="H215" s="1">
        <v>0.2608585858585859</v>
      </c>
      <c r="J215" s="1">
        <f t="shared" si="7"/>
        <v>2.7146464646464752E-3</v>
      </c>
      <c r="K215" s="1"/>
      <c r="N215" s="14"/>
      <c r="O215" s="17">
        <v>3.4545454545454568</v>
      </c>
      <c r="R215" s="17">
        <v>5.0000000000000622</v>
      </c>
    </row>
    <row r="216" spans="1:18">
      <c r="A216" s="1">
        <v>0.25505050505050503</v>
      </c>
      <c r="C216" s="1">
        <f t="shared" si="6"/>
        <v>2.3989898989899006E-3</v>
      </c>
      <c r="D216" s="1"/>
      <c r="H216" s="1">
        <v>0.26357323232323238</v>
      </c>
      <c r="J216" s="1">
        <f t="shared" si="7"/>
        <v>2.7146464646464752E-3</v>
      </c>
      <c r="K216" s="1"/>
      <c r="N216" s="14"/>
      <c r="O216" s="17">
        <v>3.4545454545454168</v>
      </c>
      <c r="R216" s="17">
        <v>3.9090909090909243</v>
      </c>
    </row>
    <row r="217" spans="1:18">
      <c r="A217" s="1">
        <v>0.25744949494949493</v>
      </c>
      <c r="C217" s="1">
        <f t="shared" si="6"/>
        <v>2.3989898989899006E-3</v>
      </c>
      <c r="D217" s="1"/>
      <c r="H217" s="1">
        <v>0.26628787878787885</v>
      </c>
      <c r="J217" s="1">
        <f t="shared" si="7"/>
        <v>2.7146464646464752E-3</v>
      </c>
      <c r="K217" s="1"/>
      <c r="N217" s="14"/>
      <c r="O217" s="17">
        <v>3.4545454545454568</v>
      </c>
      <c r="R217" s="17">
        <v>3.9090909090909243</v>
      </c>
    </row>
    <row r="218" spans="1:18">
      <c r="A218" s="1">
        <v>0.25984848484848483</v>
      </c>
      <c r="C218" s="1">
        <f t="shared" si="6"/>
        <v>2.3989898989899006E-3</v>
      </c>
      <c r="D218" s="1"/>
      <c r="H218" s="1">
        <v>0.26900252525252533</v>
      </c>
      <c r="J218" s="1">
        <f t="shared" si="7"/>
        <v>2.7146464646464752E-3</v>
      </c>
      <c r="K218" s="1"/>
      <c r="N218" s="14"/>
      <c r="O218" s="17">
        <v>3.4545454545454568</v>
      </c>
      <c r="R218" s="17">
        <v>3.9090909090909243</v>
      </c>
    </row>
    <row r="219" spans="1:18">
      <c r="A219" s="1">
        <v>0.26224747474747473</v>
      </c>
      <c r="C219" s="1">
        <f t="shared" si="6"/>
        <v>2.3989898989899006E-3</v>
      </c>
      <c r="D219" s="1"/>
      <c r="H219" s="1">
        <v>0.2717171717171718</v>
      </c>
      <c r="J219" s="1">
        <f t="shared" si="7"/>
        <v>2.7146464646464752E-3</v>
      </c>
      <c r="K219" s="1"/>
      <c r="N219" s="14"/>
      <c r="O219" s="17">
        <v>3.4545454545454568</v>
      </c>
      <c r="R219" s="17">
        <v>3.9090909090909243</v>
      </c>
    </row>
    <row r="220" spans="1:18">
      <c r="A220" s="1">
        <v>0.26464646464646463</v>
      </c>
      <c r="C220" s="1">
        <f t="shared" si="6"/>
        <v>2.3989898989899006E-3</v>
      </c>
      <c r="D220" s="1"/>
      <c r="H220" s="1">
        <v>0.27443181818181828</v>
      </c>
      <c r="J220" s="1">
        <f t="shared" si="7"/>
        <v>2.7146464646464752E-3</v>
      </c>
      <c r="K220" s="1"/>
      <c r="N220" s="14"/>
      <c r="O220" s="17">
        <v>3.4545454545454568</v>
      </c>
      <c r="R220" s="17">
        <v>3.9090909090909243</v>
      </c>
    </row>
    <row r="221" spans="1:18">
      <c r="A221" s="1">
        <v>0.26704545454545453</v>
      </c>
      <c r="C221" s="1">
        <f t="shared" si="6"/>
        <v>2.3989898989899006E-3</v>
      </c>
      <c r="D221" s="1"/>
      <c r="H221" s="1">
        <v>0.27714646464646475</v>
      </c>
      <c r="J221" s="1">
        <f t="shared" si="7"/>
        <v>2.7146464646463642E-3</v>
      </c>
      <c r="K221" s="1"/>
      <c r="N221" s="14"/>
      <c r="O221" s="17">
        <v>3.4545454545454568</v>
      </c>
      <c r="R221" s="17">
        <v>3.9090909090909243</v>
      </c>
    </row>
    <row r="222" spans="1:18">
      <c r="A222" s="10">
        <v>0.26944444444444443</v>
      </c>
      <c r="B222" s="11">
        <v>11</v>
      </c>
      <c r="C222" s="1">
        <f t="shared" si="6"/>
        <v>5.787037037037035E-3</v>
      </c>
      <c r="D222" s="1"/>
      <c r="H222" s="10">
        <v>0.27986111111111112</v>
      </c>
      <c r="I222" s="19">
        <v>11</v>
      </c>
      <c r="J222" s="1">
        <f t="shared" si="7"/>
        <v>5.2430555555555536E-2</v>
      </c>
      <c r="K222" s="1"/>
      <c r="N222" s="14"/>
      <c r="O222" s="17">
        <v>3.4545454545454568</v>
      </c>
      <c r="R222" s="17">
        <v>3.9090909090909243</v>
      </c>
    </row>
    <row r="223" spans="1:18">
      <c r="A223" s="1">
        <v>0.27523148148148147</v>
      </c>
      <c r="C223" s="1">
        <f t="shared" si="6"/>
        <v>5.787037037037035E-3</v>
      </c>
      <c r="D223" s="1"/>
      <c r="H223" s="1">
        <v>0.33229166666666665</v>
      </c>
      <c r="J223" s="1">
        <f t="shared" si="7"/>
        <v>5.2430555555555536E-2</v>
      </c>
      <c r="K223" s="1"/>
      <c r="N223" s="14"/>
      <c r="O223" s="17">
        <v>3.4545454545454568</v>
      </c>
      <c r="R223" s="17">
        <v>3.9090909090909243</v>
      </c>
    </row>
    <row r="224" spans="1:18">
      <c r="A224" s="1">
        <v>0.2810185185185185</v>
      </c>
      <c r="C224" s="1">
        <f t="shared" ref="C224:C283" si="8">A225-A224</f>
        <v>5.787037037037035E-3</v>
      </c>
      <c r="D224" s="1"/>
      <c r="H224" s="1">
        <v>0.38472222222222219</v>
      </c>
      <c r="J224" s="1">
        <f t="shared" ref="J224:J243" si="9">H225-H224</f>
        <v>5.2430555555555536E-2</v>
      </c>
      <c r="K224" s="1"/>
      <c r="N224" s="14"/>
      <c r="O224" s="17">
        <v>3.4545454545454568</v>
      </c>
      <c r="R224" s="17">
        <v>3.9090909090909243</v>
      </c>
    </row>
    <row r="225" spans="1:18">
      <c r="A225" s="10">
        <v>0.28680555555555554</v>
      </c>
      <c r="B225" s="11">
        <v>3</v>
      </c>
      <c r="C225" s="1">
        <f t="shared" si="8"/>
        <v>6.9444444444444198E-4</v>
      </c>
      <c r="D225" s="1"/>
      <c r="H225" s="1">
        <v>0.43715277777777772</v>
      </c>
      <c r="J225" s="1">
        <f t="shared" si="9"/>
        <v>5.2430555555555591E-2</v>
      </c>
      <c r="K225" s="1"/>
      <c r="N225" s="14"/>
      <c r="O225" s="17">
        <v>8.3333333333333304</v>
      </c>
      <c r="R225" s="17">
        <v>3.9090909090909243</v>
      </c>
    </row>
    <row r="226" spans="1:18">
      <c r="A226" s="1">
        <v>0.28749999999999998</v>
      </c>
      <c r="C226" s="1">
        <f t="shared" si="8"/>
        <v>6.9444444444444198E-4</v>
      </c>
      <c r="D226" s="1"/>
      <c r="H226" s="10">
        <v>0.48958333333333331</v>
      </c>
      <c r="I226" s="19">
        <v>4</v>
      </c>
      <c r="J226" s="1">
        <f t="shared" si="9"/>
        <v>9.201388888888884E-3</v>
      </c>
      <c r="K226" s="1"/>
      <c r="N226" s="14"/>
      <c r="O226" s="17">
        <v>8.3333333333333304</v>
      </c>
      <c r="R226" s="17">
        <v>3.9090909090907644</v>
      </c>
    </row>
    <row r="227" spans="1:18">
      <c r="A227" s="1">
        <v>0.28819444444444442</v>
      </c>
      <c r="C227" s="1">
        <f t="shared" si="8"/>
        <v>6.9444444444444198E-4</v>
      </c>
      <c r="D227" s="1"/>
      <c r="H227" s="1">
        <v>0.4987847222222222</v>
      </c>
      <c r="J227" s="1">
        <f t="shared" si="9"/>
        <v>9.2013888888889395E-3</v>
      </c>
      <c r="K227" s="1"/>
      <c r="N227" s="14"/>
      <c r="O227" s="17">
        <v>8.3333333333333304</v>
      </c>
      <c r="R227" s="17">
        <v>75.499999999999972</v>
      </c>
    </row>
    <row r="228" spans="1:18">
      <c r="A228" s="1">
        <v>0.28888888888888886</v>
      </c>
      <c r="C228" s="1">
        <f t="shared" si="8"/>
        <v>6.9444444444444198E-4</v>
      </c>
      <c r="D228" s="1"/>
      <c r="H228" s="1">
        <v>0.50798611111111114</v>
      </c>
      <c r="J228" s="1">
        <f t="shared" si="9"/>
        <v>9.201388888888884E-3</v>
      </c>
      <c r="K228" s="1"/>
      <c r="N228" s="14"/>
      <c r="O228" s="17">
        <v>0.99999999999999645</v>
      </c>
      <c r="R228" s="17">
        <v>75.499999999999972</v>
      </c>
    </row>
    <row r="229" spans="1:18">
      <c r="A229" s="1">
        <v>0.2895833333333333</v>
      </c>
      <c r="C229" s="1">
        <f t="shared" si="8"/>
        <v>6.9444444444444198E-4</v>
      </c>
      <c r="D229" s="1"/>
      <c r="H229" s="1">
        <v>0.51718750000000002</v>
      </c>
      <c r="J229" s="1">
        <f t="shared" si="9"/>
        <v>9.201388888888884E-3</v>
      </c>
      <c r="K229" s="1"/>
      <c r="N229" s="14"/>
      <c r="O229" s="17">
        <v>0.99999999999999645</v>
      </c>
      <c r="R229" s="17">
        <v>75.499999999999972</v>
      </c>
    </row>
    <row r="230" spans="1:18">
      <c r="A230" s="1">
        <v>0.29027777777777775</v>
      </c>
      <c r="C230" s="1">
        <f t="shared" si="8"/>
        <v>6.9444444444449749E-4</v>
      </c>
      <c r="D230" s="1"/>
      <c r="H230" s="10">
        <v>0.52638888888888891</v>
      </c>
      <c r="I230" s="19">
        <v>4</v>
      </c>
      <c r="J230" s="1">
        <f t="shared" si="9"/>
        <v>2.0138888888888928E-2</v>
      </c>
      <c r="K230" s="1"/>
      <c r="M230" s="1"/>
      <c r="N230" s="14"/>
      <c r="O230" s="17">
        <v>0.99999999999999645</v>
      </c>
      <c r="R230" s="17">
        <v>75.500000000000057</v>
      </c>
    </row>
    <row r="231" spans="1:18">
      <c r="A231" s="10">
        <v>0.29097222222222224</v>
      </c>
      <c r="B231" s="11">
        <v>6</v>
      </c>
      <c r="C231" s="1">
        <f t="shared" si="8"/>
        <v>4.7222222222222388E-3</v>
      </c>
      <c r="D231" s="1"/>
      <c r="H231" s="1">
        <v>0.54652777777777783</v>
      </c>
      <c r="I231" s="17">
        <v>1</v>
      </c>
      <c r="J231" s="1">
        <f t="shared" si="9"/>
        <v>2.3809523809523725E-3</v>
      </c>
      <c r="K231" s="1"/>
      <c r="M231" s="1"/>
      <c r="N231" s="14"/>
      <c r="O231" s="17">
        <v>0.99999999999999645</v>
      </c>
      <c r="R231" s="17">
        <v>13.249999999999993</v>
      </c>
    </row>
    <row r="232" spans="1:18">
      <c r="A232" s="1">
        <v>0.29569444444444448</v>
      </c>
      <c r="C232" s="1">
        <f t="shared" si="8"/>
        <v>4.7222222222222388E-3</v>
      </c>
      <c r="D232" s="1"/>
      <c r="H232" s="1">
        <v>0.54890873015873021</v>
      </c>
      <c r="J232" s="1">
        <f t="shared" si="9"/>
        <v>2.3809523809523725E-3</v>
      </c>
      <c r="K232" s="1"/>
      <c r="M232" s="1"/>
      <c r="N232" s="14"/>
      <c r="O232" s="17">
        <v>0.99999999999999645</v>
      </c>
      <c r="R232" s="17">
        <v>13.250000000000073</v>
      </c>
    </row>
    <row r="233" spans="1:18">
      <c r="A233" s="1">
        <v>0.30041666666666672</v>
      </c>
      <c r="C233" s="1">
        <f t="shared" si="8"/>
        <v>4.7222222222222388E-3</v>
      </c>
      <c r="D233" s="1"/>
      <c r="H233" s="1">
        <v>0.55128968253968258</v>
      </c>
      <c r="J233" s="1">
        <f t="shared" si="9"/>
        <v>2.3809523809523725E-3</v>
      </c>
      <c r="K233" s="1"/>
      <c r="M233" s="1"/>
      <c r="N233" s="14"/>
      <c r="O233" s="17">
        <v>1.0000000000000764</v>
      </c>
      <c r="R233" s="17">
        <v>13.249999999999993</v>
      </c>
    </row>
    <row r="234" spans="1:18">
      <c r="A234" s="1">
        <v>0.30513888888888896</v>
      </c>
      <c r="C234" s="1">
        <f t="shared" si="8"/>
        <v>4.7222222222222388E-3</v>
      </c>
      <c r="D234" s="1"/>
      <c r="H234" s="1">
        <v>0.55367063492063495</v>
      </c>
      <c r="J234" s="1">
        <f t="shared" si="9"/>
        <v>2.3809523809523725E-3</v>
      </c>
      <c r="K234" s="1"/>
      <c r="M234" s="1"/>
      <c r="N234" s="14"/>
      <c r="O234" s="17">
        <v>6.8000000000000238</v>
      </c>
      <c r="R234" s="17">
        <v>13.249999999999993</v>
      </c>
    </row>
    <row r="235" spans="1:18">
      <c r="A235" s="1">
        <v>0.3098611111111112</v>
      </c>
      <c r="C235" s="1">
        <f t="shared" si="8"/>
        <v>4.7222222222221277E-3</v>
      </c>
      <c r="D235" s="1"/>
      <c r="H235" s="1">
        <v>0.55605158730158732</v>
      </c>
      <c r="J235" s="1">
        <f t="shared" si="9"/>
        <v>2.3809523809523725E-3</v>
      </c>
      <c r="K235" s="1"/>
      <c r="M235" s="1"/>
      <c r="N235" s="14"/>
      <c r="O235" s="17">
        <v>6.8000000000000238</v>
      </c>
      <c r="R235" s="17">
        <v>29.000000000000057</v>
      </c>
    </row>
    <row r="236" spans="1:18">
      <c r="A236" s="10">
        <v>0.31458333333333333</v>
      </c>
      <c r="B236" s="11">
        <v>5</v>
      </c>
      <c r="C236" s="1">
        <f t="shared" si="8"/>
        <v>1.1805555555555569E-2</v>
      </c>
      <c r="D236" s="1"/>
      <c r="H236" s="1">
        <v>0.5584325396825397</v>
      </c>
      <c r="J236" s="1">
        <f t="shared" si="9"/>
        <v>2.3809523809523725E-3</v>
      </c>
      <c r="K236" s="1"/>
      <c r="M236" s="1"/>
      <c r="N236" s="14"/>
      <c r="O236" s="17">
        <v>6.8000000000000238</v>
      </c>
      <c r="R236" s="17">
        <v>3.4285714285714164</v>
      </c>
    </row>
    <row r="237" spans="1:18">
      <c r="A237" s="1">
        <v>0.3263888888888889</v>
      </c>
      <c r="C237" s="1">
        <f t="shared" si="8"/>
        <v>6.9444444444444198E-3</v>
      </c>
      <c r="D237" s="1"/>
      <c r="H237" s="1">
        <v>0.56081349206349207</v>
      </c>
      <c r="J237" s="1">
        <f t="shared" si="9"/>
        <v>2.3809523809523725E-3</v>
      </c>
      <c r="K237" s="1"/>
      <c r="M237" s="1"/>
      <c r="N237" s="14"/>
      <c r="O237" s="17">
        <v>6.8000000000000238</v>
      </c>
      <c r="R237" s="17">
        <v>3.4285714285714164</v>
      </c>
    </row>
    <row r="238" spans="1:18">
      <c r="A238" s="1">
        <v>0.33333333333333331</v>
      </c>
      <c r="C238" s="1">
        <f t="shared" si="8"/>
        <v>8.3333333333333037E-3</v>
      </c>
      <c r="D238" s="1"/>
      <c r="H238" s="1">
        <v>0.56319444444444444</v>
      </c>
      <c r="J238" s="1">
        <f t="shared" si="9"/>
        <v>2.3809523809523725E-3</v>
      </c>
      <c r="K238" s="1"/>
      <c r="M238" s="1"/>
      <c r="N238" s="14"/>
      <c r="O238" s="17">
        <v>6.7999999999998639</v>
      </c>
      <c r="R238" s="17">
        <v>3.4285714285714164</v>
      </c>
    </row>
    <row r="239" spans="1:18">
      <c r="A239" s="1">
        <v>0.34166666666666662</v>
      </c>
      <c r="C239" s="1">
        <f t="shared" si="8"/>
        <v>2.7777777777778234E-3</v>
      </c>
      <c r="D239" s="1"/>
      <c r="H239" s="1">
        <v>0.56557539682539681</v>
      </c>
      <c r="J239" s="1">
        <f t="shared" si="9"/>
        <v>2.3809523809523725E-3</v>
      </c>
      <c r="K239" s="1"/>
      <c r="M239" s="1"/>
      <c r="N239" s="14"/>
      <c r="O239" s="17">
        <v>17.000000000000021</v>
      </c>
      <c r="R239" s="17">
        <v>3.4285714285714164</v>
      </c>
    </row>
    <row r="240" spans="1:18">
      <c r="A240" s="1">
        <v>0.34444444444444444</v>
      </c>
      <c r="C240" s="1">
        <f t="shared" si="8"/>
        <v>2.7777777777778234E-3</v>
      </c>
      <c r="D240" s="1"/>
      <c r="H240" s="1">
        <v>0.56795634920634919</v>
      </c>
      <c r="J240" s="1">
        <f t="shared" si="9"/>
        <v>2.3809523809523725E-3</v>
      </c>
      <c r="K240" s="1"/>
      <c r="M240" s="1"/>
      <c r="N240" s="14"/>
      <c r="O240" s="17">
        <v>9.9999999999999645</v>
      </c>
      <c r="R240" s="17">
        <v>3.4285714285714164</v>
      </c>
    </row>
    <row r="241" spans="1:20">
      <c r="A241" s="10">
        <v>0.34722222222222227</v>
      </c>
      <c r="B241" s="11">
        <v>2</v>
      </c>
      <c r="C241" s="1">
        <f t="shared" si="8"/>
        <v>2.1527777777777701E-2</v>
      </c>
      <c r="H241" s="1">
        <v>0.57033730158730156</v>
      </c>
      <c r="J241" s="1">
        <f t="shared" si="9"/>
        <v>2.3809523809523725E-3</v>
      </c>
      <c r="K241" s="1"/>
      <c r="M241" s="1"/>
      <c r="N241" s="14"/>
      <c r="O241" s="17">
        <v>11.999999999999957</v>
      </c>
      <c r="R241" s="17">
        <v>3.4285714285714164</v>
      </c>
    </row>
    <row r="242" spans="1:20">
      <c r="A242" s="1">
        <v>0.36874999999999997</v>
      </c>
      <c r="C242" s="1">
        <f t="shared" si="8"/>
        <v>8.9285714285713969E-4</v>
      </c>
      <c r="H242" s="1">
        <v>0.57271825396825393</v>
      </c>
      <c r="J242" s="1">
        <f t="shared" si="9"/>
        <v>2.3809523809523725E-3</v>
      </c>
      <c r="K242" s="1"/>
      <c r="N242" s="14"/>
      <c r="O242" s="17">
        <v>4.0000000000000657</v>
      </c>
      <c r="R242" s="17">
        <v>3.4285714285714164</v>
      </c>
    </row>
    <row r="243" spans="1:20">
      <c r="A243" s="1">
        <v>0.36964285714285711</v>
      </c>
      <c r="C243" s="1">
        <f t="shared" si="8"/>
        <v>8.9285714285713969E-4</v>
      </c>
      <c r="H243" s="1">
        <v>0.5750992063492063</v>
      </c>
      <c r="J243" s="1">
        <f t="shared" si="9"/>
        <v>4.761904761904745E-3</v>
      </c>
      <c r="K243" s="1"/>
      <c r="N243" s="14"/>
      <c r="O243" s="17">
        <v>4.0000000000000657</v>
      </c>
      <c r="R243" s="17">
        <v>3.4285714285714164</v>
      </c>
    </row>
    <row r="244" spans="1:20">
      <c r="A244" s="1">
        <v>0.37053571428571425</v>
      </c>
      <c r="C244" s="1">
        <f t="shared" si="8"/>
        <v>8.9285714285713969E-4</v>
      </c>
      <c r="H244" s="10">
        <v>0.57986111111111105</v>
      </c>
      <c r="I244" s="19">
        <v>14</v>
      </c>
      <c r="K244" s="1"/>
      <c r="N244" s="14"/>
      <c r="O244" s="17">
        <v>30.99999999999989</v>
      </c>
      <c r="R244" s="17">
        <v>3.4285714285714164</v>
      </c>
    </row>
    <row r="245" spans="1:20">
      <c r="A245" s="1">
        <v>0.37142857142857139</v>
      </c>
      <c r="C245" s="1">
        <f t="shared" si="8"/>
        <v>8.9285714285713969E-4</v>
      </c>
      <c r="K245" s="1"/>
      <c r="N245" s="14"/>
      <c r="O245" s="17">
        <v>1.2857142857142811</v>
      </c>
      <c r="R245" s="17">
        <v>3.4285714285714164</v>
      </c>
    </row>
    <row r="246" spans="1:20">
      <c r="A246" s="1">
        <v>0.37232142857142853</v>
      </c>
      <c r="C246" s="1">
        <f t="shared" si="8"/>
        <v>8.9285714285713969E-4</v>
      </c>
      <c r="N246" s="14"/>
      <c r="O246" s="17">
        <v>1.2857142857142811</v>
      </c>
      <c r="R246" s="17">
        <v>3.4285714285714164</v>
      </c>
    </row>
    <row r="247" spans="1:20">
      <c r="A247" s="1">
        <v>0.37321428571428567</v>
      </c>
      <c r="C247" s="1">
        <f t="shared" si="8"/>
        <v>8.9285714285713969E-4</v>
      </c>
      <c r="N247" s="14"/>
      <c r="O247" s="17">
        <v>1.2857142857142811</v>
      </c>
      <c r="R247" s="17">
        <v>3.4285714285714164</v>
      </c>
      <c r="T247">
        <f>248-14</f>
        <v>234</v>
      </c>
    </row>
    <row r="248" spans="1:20">
      <c r="A248" s="1">
        <v>0.3741071428571428</v>
      </c>
      <c r="C248" s="1">
        <f t="shared" si="8"/>
        <v>8.928571428571952E-4</v>
      </c>
      <c r="N248" s="14"/>
      <c r="O248" s="17">
        <v>1.2857142857142811</v>
      </c>
      <c r="R248" s="17">
        <v>6.8571428571428328</v>
      </c>
    </row>
    <row r="249" spans="1:20">
      <c r="A249" s="10">
        <v>0.375</v>
      </c>
      <c r="B249" s="11">
        <v>7</v>
      </c>
      <c r="C249" s="1">
        <f t="shared" si="8"/>
        <v>7.6388888888889173E-3</v>
      </c>
      <c r="K249" s="1"/>
      <c r="N249" s="14"/>
      <c r="O249" s="17">
        <v>1.2857142857142811</v>
      </c>
    </row>
    <row r="250" spans="1:20">
      <c r="A250" s="1">
        <v>0.38263888888888892</v>
      </c>
      <c r="C250" s="1">
        <f t="shared" si="8"/>
        <v>2.0833333333333259E-3</v>
      </c>
      <c r="K250" s="1"/>
      <c r="N250" s="14"/>
      <c r="O250" s="17">
        <v>1.2857142857142811</v>
      </c>
    </row>
    <row r="251" spans="1:20">
      <c r="A251" s="1">
        <v>0.38472222222222224</v>
      </c>
      <c r="C251" s="1">
        <f t="shared" si="8"/>
        <v>2.0833333333333259E-3</v>
      </c>
      <c r="K251" s="1"/>
      <c r="N251" s="14"/>
      <c r="O251" s="17">
        <v>1.2857142857143611</v>
      </c>
    </row>
    <row r="252" spans="1:20">
      <c r="A252" s="1">
        <v>0.38680555555555557</v>
      </c>
      <c r="C252" s="1">
        <f t="shared" si="8"/>
        <v>2.0833333333333259E-3</v>
      </c>
      <c r="N252" s="14"/>
      <c r="O252" s="17">
        <v>11.000000000000041</v>
      </c>
    </row>
    <row r="253" spans="1:20">
      <c r="A253" s="1">
        <v>0.3888888888888889</v>
      </c>
      <c r="C253" s="1">
        <f t="shared" si="8"/>
        <v>2.0833333333333259E-3</v>
      </c>
      <c r="N253" s="14"/>
      <c r="O253" s="17">
        <v>2.9999999999999893</v>
      </c>
    </row>
    <row r="254" spans="1:20">
      <c r="A254" s="1">
        <v>0.39097222222222222</v>
      </c>
      <c r="C254" s="1">
        <f t="shared" si="8"/>
        <v>2.0833333333333259E-3</v>
      </c>
      <c r="N254" s="14"/>
      <c r="O254" s="17">
        <v>2.9999999999999893</v>
      </c>
    </row>
    <row r="255" spans="1:20">
      <c r="A255" s="10">
        <v>0.39305555555555555</v>
      </c>
      <c r="B255" s="11">
        <v>5</v>
      </c>
      <c r="C255" s="1">
        <f t="shared" si="8"/>
        <v>1.6666666666666496E-3</v>
      </c>
      <c r="N255" s="14"/>
      <c r="O255" s="17">
        <v>2.9999999999999893</v>
      </c>
    </row>
    <row r="256" spans="1:20">
      <c r="A256" s="1">
        <v>0.3947222222222222</v>
      </c>
      <c r="C256" s="1">
        <f t="shared" si="8"/>
        <v>1.6666666666666496E-3</v>
      </c>
      <c r="N256" s="14"/>
      <c r="O256" s="17">
        <v>2.9999999999999893</v>
      </c>
    </row>
    <row r="257" spans="1:15">
      <c r="A257" s="1">
        <v>0.39638888888888885</v>
      </c>
      <c r="C257" s="1">
        <f t="shared" si="8"/>
        <v>1.6666666666666496E-3</v>
      </c>
      <c r="N257" s="14"/>
      <c r="O257" s="17">
        <v>2.9999999999999893</v>
      </c>
    </row>
    <row r="258" spans="1:15">
      <c r="A258" s="1">
        <v>0.3980555555555555</v>
      </c>
      <c r="C258" s="1">
        <f t="shared" si="8"/>
        <v>1.6666666666666496E-3</v>
      </c>
      <c r="N258" s="14"/>
      <c r="O258" s="17">
        <v>2.3999999999999755</v>
      </c>
    </row>
    <row r="259" spans="1:15">
      <c r="A259" s="1">
        <v>0.39972222222222215</v>
      </c>
      <c r="C259" s="1">
        <f t="shared" si="8"/>
        <v>1.6666666666667052E-3</v>
      </c>
      <c r="N259" s="14"/>
      <c r="O259" s="17">
        <v>2.3999999999999755</v>
      </c>
    </row>
    <row r="260" spans="1:15">
      <c r="A260" s="10">
        <v>0.40138888888888885</v>
      </c>
      <c r="B260" s="11">
        <v>5</v>
      </c>
      <c r="C260" s="1">
        <f t="shared" si="8"/>
        <v>1.6666666666666718E-2</v>
      </c>
      <c r="N260" s="14"/>
      <c r="O260" s="17">
        <v>2.3999999999999755</v>
      </c>
    </row>
    <row r="261" spans="1:15">
      <c r="A261" s="1">
        <v>0.41805555555555557</v>
      </c>
      <c r="C261" s="1">
        <f t="shared" si="8"/>
        <v>1.0995370370370239E-3</v>
      </c>
      <c r="N261" s="14"/>
      <c r="O261" s="17">
        <v>2.3999999999999755</v>
      </c>
    </row>
    <row r="262" spans="1:15">
      <c r="A262" s="1">
        <v>0.41915509259259259</v>
      </c>
      <c r="C262" s="1">
        <f t="shared" si="8"/>
        <v>1.0995370370370239E-3</v>
      </c>
      <c r="N262" s="14"/>
      <c r="O262" s="17">
        <v>2.4000000000000554</v>
      </c>
    </row>
    <row r="263" spans="1:15">
      <c r="A263" s="1">
        <v>0.42025462962962962</v>
      </c>
      <c r="C263" s="1">
        <f t="shared" si="8"/>
        <v>1.0995370370370239E-3</v>
      </c>
      <c r="N263" s="14"/>
      <c r="O263" s="17">
        <v>24.000000000000075</v>
      </c>
    </row>
    <row r="264" spans="1:15">
      <c r="A264" s="1">
        <v>0.42135416666666664</v>
      </c>
      <c r="C264" s="1">
        <f t="shared" si="8"/>
        <v>1.0995370370370239E-3</v>
      </c>
      <c r="N264" s="14"/>
      <c r="O264" s="17">
        <v>1.5833333333333144</v>
      </c>
    </row>
    <row r="265" spans="1:15">
      <c r="A265" s="1">
        <v>0.42245370370370366</v>
      </c>
      <c r="C265" s="1">
        <f t="shared" si="8"/>
        <v>1.0995370370370239E-3</v>
      </c>
      <c r="N265" s="14"/>
      <c r="O265" s="17">
        <v>1.5833333333333144</v>
      </c>
    </row>
    <row r="266" spans="1:15">
      <c r="A266" s="1">
        <v>0.42355324074074069</v>
      </c>
      <c r="C266" s="1">
        <f t="shared" si="8"/>
        <v>1.0995370370370239E-3</v>
      </c>
      <c r="N266" s="14"/>
      <c r="O266" s="17">
        <v>1.5833333333333144</v>
      </c>
    </row>
    <row r="267" spans="1:15">
      <c r="A267" s="1">
        <v>0.42465277777777771</v>
      </c>
      <c r="C267" s="1">
        <f t="shared" si="8"/>
        <v>1.0995370370370239E-3</v>
      </c>
      <c r="N267" s="14"/>
      <c r="O267" s="17">
        <v>1.5833333333333144</v>
      </c>
    </row>
    <row r="268" spans="1:15">
      <c r="A268" s="1">
        <v>0.42575231481481474</v>
      </c>
      <c r="C268" s="1">
        <f t="shared" si="8"/>
        <v>1.0995370370370239E-3</v>
      </c>
      <c r="N268" s="14"/>
      <c r="O268" s="17">
        <v>1.5833333333333144</v>
      </c>
    </row>
    <row r="269" spans="1:15">
      <c r="A269" s="1">
        <v>0.42685185185185176</v>
      </c>
      <c r="C269" s="1">
        <f t="shared" si="8"/>
        <v>1.0995370370370239E-3</v>
      </c>
      <c r="N269" s="14"/>
      <c r="O269" s="17">
        <v>1.5833333333333144</v>
      </c>
    </row>
    <row r="270" spans="1:15">
      <c r="A270" s="1">
        <v>0.42795138888888878</v>
      </c>
      <c r="C270" s="1">
        <f t="shared" si="8"/>
        <v>1.0995370370370239E-3</v>
      </c>
      <c r="N270" s="14"/>
      <c r="O270" s="17">
        <v>1.5833333333333144</v>
      </c>
    </row>
    <row r="271" spans="1:15">
      <c r="A271" s="1">
        <v>0.42905092592592581</v>
      </c>
      <c r="C271" s="1">
        <f t="shared" si="8"/>
        <v>1.0995370370370239E-3</v>
      </c>
      <c r="N271" s="14"/>
      <c r="O271" s="17">
        <v>1.5833333333333144</v>
      </c>
    </row>
    <row r="272" spans="1:15">
      <c r="A272" s="1">
        <v>0.43015046296296283</v>
      </c>
      <c r="C272" s="1">
        <f t="shared" si="8"/>
        <v>1.0995370370371349E-3</v>
      </c>
      <c r="N272" s="14"/>
      <c r="O272" s="17">
        <v>1.5833333333333144</v>
      </c>
    </row>
    <row r="273" spans="1:15">
      <c r="A273" s="10">
        <v>0.43124999999999997</v>
      </c>
      <c r="B273" s="11">
        <v>12</v>
      </c>
      <c r="C273" s="1"/>
      <c r="N273" s="14"/>
      <c r="O273" s="17">
        <v>1.5833333333333144</v>
      </c>
    </row>
    <row r="274" spans="1:15">
      <c r="A274" s="2">
        <v>1.2659722222222223</v>
      </c>
      <c r="C274" s="1">
        <f t="shared" si="8"/>
        <v>9.7222222222221877E-3</v>
      </c>
      <c r="N274" s="14"/>
      <c r="O274" s="17">
        <v>1.5833333333333144</v>
      </c>
    </row>
    <row r="275" spans="1:15">
      <c r="A275" s="2">
        <v>1.2756944444444445</v>
      </c>
      <c r="C275" s="1">
        <f t="shared" si="8"/>
        <v>2.0833333333333259E-2</v>
      </c>
      <c r="N275" s="14"/>
      <c r="O275" s="17">
        <v>1.5833333333334743</v>
      </c>
    </row>
    <row r="276" spans="1:15">
      <c r="A276" s="2">
        <v>1.2965277777777777</v>
      </c>
      <c r="C276" s="1">
        <f t="shared" si="8"/>
        <v>1.4583333333333393E-2</v>
      </c>
    </row>
    <row r="277" spans="1:15">
      <c r="A277" s="2">
        <v>1.3111111111111111</v>
      </c>
      <c r="C277" s="1">
        <f t="shared" si="8"/>
        <v>1.5277777777777724E-2</v>
      </c>
      <c r="M277">
        <v>9.7222222222221877E-3</v>
      </c>
    </row>
    <row r="278" spans="1:15">
      <c r="A278" s="2">
        <v>1.3263888888888888</v>
      </c>
      <c r="C278" s="1">
        <f t="shared" si="8"/>
        <v>6.2500000000000888E-3</v>
      </c>
      <c r="M278">
        <v>2.0833333333333259E-2</v>
      </c>
    </row>
    <row r="279" spans="1:15">
      <c r="A279" s="2">
        <v>1.3326388888888889</v>
      </c>
      <c r="C279" s="1">
        <f t="shared" si="8"/>
        <v>8.3333333333330817E-3</v>
      </c>
      <c r="M279">
        <v>1.4583333333333393E-2</v>
      </c>
    </row>
    <row r="280" spans="1:15">
      <c r="A280" s="2">
        <v>1.340972222222222</v>
      </c>
      <c r="C280" s="1">
        <f t="shared" si="8"/>
        <v>4.1666666666668739E-3</v>
      </c>
      <c r="M280">
        <v>1.5277777777777724E-2</v>
      </c>
    </row>
    <row r="281" spans="1:15">
      <c r="A281" s="2">
        <v>1.3451388888888889</v>
      </c>
      <c r="C281" s="1">
        <f t="shared" si="8"/>
        <v>1.388888888888884E-2</v>
      </c>
      <c r="M281">
        <v>6.2500000000000888E-3</v>
      </c>
    </row>
    <row r="282" spans="1:15">
      <c r="A282" s="2">
        <v>1.3590277777777777</v>
      </c>
      <c r="C282" s="1">
        <f t="shared" si="8"/>
        <v>8.3333333333333481E-2</v>
      </c>
      <c r="M282">
        <v>8.3333333333330817E-3</v>
      </c>
    </row>
    <row r="283" spans="1:15">
      <c r="A283" s="2">
        <v>1.4423611111111112</v>
      </c>
      <c r="C283" s="1">
        <f t="shared" si="8"/>
        <v>4.8611111111109828E-3</v>
      </c>
      <c r="M283">
        <v>4.1666666666668739E-3</v>
      </c>
    </row>
    <row r="284" spans="1:15">
      <c r="A284" s="2">
        <v>1.4472222222222222</v>
      </c>
      <c r="M284">
        <v>1.388888888888884E-2</v>
      </c>
    </row>
    <row r="285" spans="1:15">
      <c r="M285">
        <v>8.3333333333333481E-2</v>
      </c>
    </row>
    <row r="286" spans="1:15">
      <c r="M286">
        <v>4.8611111111109828E-3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W35"/>
  <sheetViews>
    <sheetView workbookViewId="0"/>
  </sheetViews>
  <sheetFormatPr defaultRowHeight="15"/>
  <cols>
    <col min="2" max="3" width="12" customWidth="1"/>
    <col min="5" max="5" width="14.28515625" customWidth="1"/>
    <col min="6" max="6" width="14.5703125" customWidth="1"/>
    <col min="14" max="14" width="24.85546875" customWidth="1"/>
  </cols>
  <sheetData>
    <row r="1" spans="1:23">
      <c r="A1" t="s">
        <v>180</v>
      </c>
      <c r="M1" s="7" t="s">
        <v>88</v>
      </c>
      <c r="N1" s="8"/>
      <c r="O1" s="8" t="s">
        <v>6</v>
      </c>
      <c r="P1" s="8" t="s">
        <v>19</v>
      </c>
      <c r="Q1" s="8" t="s">
        <v>24</v>
      </c>
      <c r="R1" s="8"/>
      <c r="S1" s="8" t="s">
        <v>89</v>
      </c>
      <c r="T1" s="8"/>
      <c r="U1" s="8"/>
    </row>
    <row r="2" spans="1:23">
      <c r="A2" t="s">
        <v>181</v>
      </c>
      <c r="B2">
        <v>49</v>
      </c>
      <c r="M2" s="7" t="s">
        <v>180</v>
      </c>
      <c r="N2" s="8"/>
      <c r="O2" s="8" t="s">
        <v>203</v>
      </c>
      <c r="P2" s="8"/>
      <c r="Q2" s="8"/>
      <c r="R2" s="8"/>
      <c r="S2" s="8"/>
      <c r="T2" s="8"/>
      <c r="U2" s="8"/>
    </row>
    <row r="3" spans="1:23">
      <c r="A3" t="s">
        <v>182</v>
      </c>
      <c r="B3">
        <v>48</v>
      </c>
      <c r="N3" s="8" t="s">
        <v>242</v>
      </c>
      <c r="O3" s="8" t="s">
        <v>243</v>
      </c>
      <c r="P3" s="8"/>
      <c r="Q3" s="8"/>
      <c r="R3" s="8"/>
      <c r="S3" s="8"/>
      <c r="T3" s="8" t="s">
        <v>90</v>
      </c>
      <c r="U3" s="8"/>
    </row>
    <row r="4" spans="1:23">
      <c r="N4" s="8"/>
      <c r="O4" s="8">
        <f>60*59+30</f>
        <v>3570</v>
      </c>
      <c r="P4" s="8"/>
      <c r="Q4" s="8"/>
      <c r="R4" s="8" t="s">
        <v>220</v>
      </c>
      <c r="S4" s="8">
        <f>P6/O6</f>
        <v>0.27272727272727271</v>
      </c>
      <c r="T4" s="8"/>
      <c r="U4" s="8"/>
    </row>
    <row r="5" spans="1:23">
      <c r="A5" t="s">
        <v>183</v>
      </c>
      <c r="C5" t="s">
        <v>9</v>
      </c>
      <c r="D5" t="s">
        <v>6</v>
      </c>
      <c r="E5" t="s">
        <v>124</v>
      </c>
      <c r="F5" t="s">
        <v>184</v>
      </c>
      <c r="G5" t="s">
        <v>185</v>
      </c>
      <c r="H5" t="s">
        <v>8</v>
      </c>
      <c r="I5" t="s">
        <v>186</v>
      </c>
      <c r="N5" s="8"/>
      <c r="O5" s="8" t="s">
        <v>20</v>
      </c>
      <c r="P5" s="8" t="s">
        <v>21</v>
      </c>
      <c r="Q5" s="8" t="s">
        <v>22</v>
      </c>
      <c r="R5" s="8" t="s">
        <v>23</v>
      </c>
      <c r="S5" s="8"/>
      <c r="T5" s="8"/>
      <c r="U5" s="8"/>
      <c r="V5" s="8" t="s">
        <v>99</v>
      </c>
      <c r="W5" s="8"/>
    </row>
    <row r="6" spans="1:23">
      <c r="A6" s="1">
        <v>6.1805555555555558E-2</v>
      </c>
      <c r="C6" s="1">
        <f>A6</f>
        <v>6.1805555555555558E-2</v>
      </c>
      <c r="D6" s="1">
        <v>9.7916666666666666E-2</v>
      </c>
      <c r="E6" s="1">
        <f>D6</f>
        <v>9.7916666666666666E-2</v>
      </c>
      <c r="F6" s="1">
        <v>0.3354166666666667</v>
      </c>
      <c r="G6" s="1">
        <f>F6</f>
        <v>0.3354166666666667</v>
      </c>
      <c r="H6" s="1">
        <v>7.5694444444444439E-2</v>
      </c>
      <c r="I6" s="1">
        <v>7.5694444444444439E-2</v>
      </c>
      <c r="K6" s="1">
        <f>I6</f>
        <v>7.5694444444444439E-2</v>
      </c>
      <c r="N6" s="8" t="s">
        <v>31</v>
      </c>
      <c r="O6" s="8">
        <f>28-6</f>
        <v>22</v>
      </c>
      <c r="P6" s="8">
        <v>6</v>
      </c>
      <c r="Q6" s="8">
        <v>5</v>
      </c>
      <c r="R6" s="8">
        <f>30-6</f>
        <v>24</v>
      </c>
      <c r="S6" s="8"/>
      <c r="T6" s="8"/>
      <c r="U6" s="8"/>
      <c r="V6" s="8" t="s">
        <v>13</v>
      </c>
      <c r="W6" s="8">
        <v>50</v>
      </c>
    </row>
    <row r="7" spans="1:23">
      <c r="A7" s="1">
        <v>6.805555555555555E-2</v>
      </c>
      <c r="C7" s="1">
        <f>A7-A6</f>
        <v>6.2499999999999917E-3</v>
      </c>
      <c r="D7" s="1">
        <v>0.68888888888888899</v>
      </c>
      <c r="E7" s="1">
        <f>D7-D6</f>
        <v>0.59097222222222234</v>
      </c>
      <c r="F7" s="1">
        <v>0.47152777777777777</v>
      </c>
      <c r="G7" s="1">
        <f>F7-F6</f>
        <v>0.13611111111111107</v>
      </c>
      <c r="H7" s="1">
        <v>0.13680555555555554</v>
      </c>
      <c r="I7" s="1">
        <v>0.13680555555555554</v>
      </c>
      <c r="K7" s="1">
        <f>I7-I6</f>
        <v>6.1111111111111102E-2</v>
      </c>
      <c r="N7" s="8" t="s">
        <v>65</v>
      </c>
      <c r="O7" s="8" t="s">
        <v>196</v>
      </c>
      <c r="P7" s="8" t="s">
        <v>197</v>
      </c>
      <c r="Q7" s="8" t="s">
        <v>198</v>
      </c>
      <c r="R7" s="8" t="s">
        <v>199</v>
      </c>
      <c r="S7" s="8"/>
      <c r="T7" s="8"/>
      <c r="U7" s="8"/>
      <c r="V7" s="8" t="s">
        <v>14</v>
      </c>
      <c r="W7" s="8">
        <v>48</v>
      </c>
    </row>
    <row r="8" spans="1:23">
      <c r="A8" s="1">
        <v>0.11597222222222221</v>
      </c>
      <c r="C8" s="1">
        <f t="shared" ref="C8:C28" si="0">A8-A7</f>
        <v>4.7916666666666663E-2</v>
      </c>
      <c r="D8" s="1">
        <v>0.72638888888888886</v>
      </c>
      <c r="E8" s="1">
        <f>D8-D7</f>
        <v>3.7499999999999867E-2</v>
      </c>
      <c r="F8" s="1">
        <v>0.87569444444444444</v>
      </c>
      <c r="G8" s="1">
        <f>F8-F7</f>
        <v>0.40416666666666667</v>
      </c>
      <c r="H8" s="1">
        <v>0.14444444444444446</v>
      </c>
      <c r="I8" s="1">
        <v>0.14444444444444446</v>
      </c>
      <c r="K8" s="1">
        <f t="shared" ref="K8:K30" si="1">I8-I7</f>
        <v>7.6388888888889173E-3</v>
      </c>
    </row>
    <row r="9" spans="1:23">
      <c r="A9" s="1">
        <v>0.12361111111111112</v>
      </c>
      <c r="C9" s="1">
        <f t="shared" si="0"/>
        <v>7.6388888888889034E-3</v>
      </c>
      <c r="D9" s="2">
        <v>1.2701388888888889</v>
      </c>
      <c r="E9" s="1">
        <f>D9-D8</f>
        <v>0.54375000000000007</v>
      </c>
      <c r="F9" s="2">
        <v>2.1041666666666665</v>
      </c>
      <c r="G9" s="1">
        <f>F9-F8</f>
        <v>1.228472222222222</v>
      </c>
      <c r="H9" s="1">
        <v>0.16041666666666668</v>
      </c>
      <c r="I9" s="1">
        <v>0.16041666666666668</v>
      </c>
      <c r="K9" s="1">
        <f t="shared" si="1"/>
        <v>1.5972222222222221E-2</v>
      </c>
      <c r="N9" t="s">
        <v>91</v>
      </c>
      <c r="O9" t="s">
        <v>92</v>
      </c>
      <c r="P9" t="s">
        <v>93</v>
      </c>
      <c r="Q9" t="s">
        <v>94</v>
      </c>
    </row>
    <row r="10" spans="1:23">
      <c r="A10" s="1">
        <v>0.15069444444444444</v>
      </c>
      <c r="C10" s="1">
        <f t="shared" si="0"/>
        <v>2.708333333333332E-2</v>
      </c>
      <c r="D10" s="2">
        <v>1.7736111111111112</v>
      </c>
      <c r="E10" s="1">
        <f>D10-D9</f>
        <v>0.50347222222222232</v>
      </c>
      <c r="F10" s="2">
        <v>2.1215277777777777</v>
      </c>
      <c r="G10" s="1">
        <f>F10-F9</f>
        <v>1.736111111111116E-2</v>
      </c>
      <c r="I10" s="1">
        <v>0.19097222222222221</v>
      </c>
      <c r="K10" s="1">
        <f t="shared" si="1"/>
        <v>3.055555555555553E-2</v>
      </c>
      <c r="N10">
        <v>89</v>
      </c>
      <c r="O10">
        <v>141</v>
      </c>
      <c r="P10">
        <v>483</v>
      </c>
      <c r="Q10">
        <v>108.99999999999999</v>
      </c>
    </row>
    <row r="11" spans="1:23">
      <c r="A11" s="1">
        <v>0.18263888888888891</v>
      </c>
      <c r="C11" s="1">
        <f t="shared" si="0"/>
        <v>3.194444444444447E-2</v>
      </c>
      <c r="D11" s="2">
        <v>2.1166666666666667</v>
      </c>
      <c r="E11" s="1">
        <f>D11-D10</f>
        <v>0.34305555555555545</v>
      </c>
      <c r="I11" s="1">
        <v>0.5180555555555556</v>
      </c>
      <c r="K11" s="1">
        <f t="shared" si="1"/>
        <v>0.32708333333333339</v>
      </c>
      <c r="N11">
        <v>8.9999999999999876</v>
      </c>
      <c r="O11">
        <v>851.00000000000023</v>
      </c>
      <c r="P11">
        <v>195.99999999999994</v>
      </c>
      <c r="Q11">
        <v>87.999999999999986</v>
      </c>
    </row>
    <row r="12" spans="1:23">
      <c r="A12" s="1">
        <v>0.50902777777777775</v>
      </c>
      <c r="C12" s="1">
        <f t="shared" si="0"/>
        <v>0.32638888888888884</v>
      </c>
      <c r="I12" s="1">
        <v>0.80763888888888891</v>
      </c>
      <c r="K12" s="1">
        <f t="shared" si="1"/>
        <v>0.2895833333333333</v>
      </c>
      <c r="N12">
        <v>69</v>
      </c>
      <c r="O12">
        <v>53.999999999999808</v>
      </c>
      <c r="P12">
        <v>582</v>
      </c>
      <c r="Q12">
        <v>11.000000000000041</v>
      </c>
    </row>
    <row r="13" spans="1:23">
      <c r="A13" s="1">
        <v>0.78402777777777777</v>
      </c>
      <c r="C13" s="1">
        <f t="shared" si="0"/>
        <v>0.27500000000000002</v>
      </c>
      <c r="F13">
        <f>14*60+11</f>
        <v>851</v>
      </c>
      <c r="I13" s="1">
        <v>0.84166666666666667</v>
      </c>
      <c r="K13" s="1">
        <f t="shared" si="1"/>
        <v>3.4027777777777768E-2</v>
      </c>
      <c r="N13">
        <v>11.000000000000021</v>
      </c>
      <c r="O13">
        <v>783.00000000000023</v>
      </c>
      <c r="P13">
        <v>1768.9999999999995</v>
      </c>
      <c r="Q13">
        <v>23</v>
      </c>
    </row>
    <row r="14" spans="1:23">
      <c r="A14" s="1">
        <v>0.83333333333333337</v>
      </c>
      <c r="C14" s="1">
        <f t="shared" si="0"/>
        <v>4.9305555555555602E-2</v>
      </c>
      <c r="I14" s="1">
        <v>0.84861111111111109</v>
      </c>
      <c r="K14" s="1">
        <f t="shared" si="1"/>
        <v>6.9444444444444198E-3</v>
      </c>
      <c r="N14">
        <v>38.999999999999979</v>
      </c>
      <c r="O14">
        <v>725.00000000000011</v>
      </c>
      <c r="P14">
        <v>25.000000000000071</v>
      </c>
      <c r="Q14">
        <v>43.999999999999964</v>
      </c>
    </row>
    <row r="15" spans="1:23">
      <c r="A15" s="1">
        <v>0.84166666666666667</v>
      </c>
      <c r="C15" s="1">
        <f t="shared" si="0"/>
        <v>8.3333333333333037E-3</v>
      </c>
      <c r="I15" s="1">
        <v>0.95833333333333337</v>
      </c>
      <c r="K15" s="1">
        <f t="shared" si="1"/>
        <v>0.10972222222222228</v>
      </c>
      <c r="N15">
        <v>46.000000000000043</v>
      </c>
      <c r="O15">
        <v>493.99999999999989</v>
      </c>
      <c r="Q15">
        <v>471.00000000000011</v>
      </c>
    </row>
    <row r="16" spans="1:23">
      <c r="A16" s="1">
        <v>0.94930555555555562</v>
      </c>
      <c r="C16" s="1">
        <f t="shared" si="0"/>
        <v>0.10763888888888895</v>
      </c>
      <c r="I16" s="2">
        <v>1.1416666666666666</v>
      </c>
      <c r="K16" s="1">
        <f t="shared" si="1"/>
        <v>0.18333333333333324</v>
      </c>
      <c r="N16">
        <v>469.99999999999989</v>
      </c>
      <c r="Q16">
        <v>416.99999999999994</v>
      </c>
    </row>
    <row r="17" spans="1:17">
      <c r="A17" s="2">
        <v>1.1381944444444445</v>
      </c>
      <c r="C17" s="1">
        <f t="shared" si="0"/>
        <v>0.18888888888888888</v>
      </c>
      <c r="I17" s="2">
        <v>1.2916666666666667</v>
      </c>
      <c r="K17" s="1">
        <f t="shared" si="1"/>
        <v>0.15000000000000013</v>
      </c>
      <c r="N17">
        <v>396</v>
      </c>
      <c r="Q17">
        <v>48.999999999999986</v>
      </c>
    </row>
    <row r="18" spans="1:17">
      <c r="A18" s="2">
        <v>1.28125</v>
      </c>
      <c r="C18" s="1">
        <f t="shared" si="0"/>
        <v>0.14305555555555549</v>
      </c>
      <c r="I18" s="2">
        <v>1.2986111111111112</v>
      </c>
      <c r="K18" s="1">
        <f t="shared" si="1"/>
        <v>6.9444444444444198E-3</v>
      </c>
      <c r="N18">
        <v>71.000000000000071</v>
      </c>
      <c r="Q18">
        <v>9.9999999999999645</v>
      </c>
    </row>
    <row r="19" spans="1:17">
      <c r="A19" s="2">
        <v>1.4506944444444445</v>
      </c>
      <c r="C19" s="1">
        <f t="shared" si="0"/>
        <v>0.16944444444444451</v>
      </c>
      <c r="I19" s="2">
        <v>1.4618055555555556</v>
      </c>
      <c r="K19" s="1">
        <f t="shared" si="1"/>
        <v>0.16319444444444442</v>
      </c>
      <c r="N19">
        <v>11.999999999999957</v>
      </c>
      <c r="Q19">
        <v>158.00000000000009</v>
      </c>
    </row>
    <row r="20" spans="1:17">
      <c r="A20" s="2">
        <v>1.5625</v>
      </c>
      <c r="C20" s="1">
        <f t="shared" si="0"/>
        <v>0.11180555555555549</v>
      </c>
      <c r="I20" s="2">
        <v>1.5722222222222222</v>
      </c>
      <c r="K20" s="1">
        <f t="shared" si="1"/>
        <v>0.11041666666666661</v>
      </c>
      <c r="N20">
        <v>155.00000000000011</v>
      </c>
      <c r="Q20">
        <v>263.99999999999989</v>
      </c>
    </row>
    <row r="21" spans="1:17">
      <c r="A21" s="2">
        <v>1.6694444444444445</v>
      </c>
      <c r="C21" s="1">
        <f t="shared" si="0"/>
        <v>0.10694444444444451</v>
      </c>
      <c r="I21" s="2">
        <v>1.6833333333333333</v>
      </c>
      <c r="K21" s="1">
        <f t="shared" si="1"/>
        <v>0.11111111111111116</v>
      </c>
      <c r="N21">
        <v>272</v>
      </c>
      <c r="Q21">
        <v>216.0000000000002</v>
      </c>
    </row>
    <row r="22" spans="1:17">
      <c r="A22" s="2">
        <v>1.7284722222222222</v>
      </c>
      <c r="C22" s="1">
        <f t="shared" si="0"/>
        <v>5.9027777777777679E-2</v>
      </c>
      <c r="I22" s="2">
        <v>1.7340277777777777</v>
      </c>
      <c r="K22" s="1">
        <f t="shared" si="1"/>
        <v>5.0694444444444375E-2</v>
      </c>
      <c r="N22">
        <v>205.99999999999989</v>
      </c>
      <c r="Q22">
        <v>9.9999999999999645</v>
      </c>
    </row>
    <row r="23" spans="1:17">
      <c r="A23" s="2">
        <v>1.8486111111111112</v>
      </c>
      <c r="C23" s="1">
        <f t="shared" si="0"/>
        <v>0.12013888888888902</v>
      </c>
      <c r="I23" s="2">
        <v>1.8541666666666667</v>
      </c>
      <c r="K23" s="1">
        <f t="shared" si="1"/>
        <v>0.12013888888888902</v>
      </c>
      <c r="N23">
        <v>244.00000000000011</v>
      </c>
      <c r="Q23">
        <v>234.99999999999997</v>
      </c>
    </row>
    <row r="24" spans="1:17">
      <c r="A24" s="2">
        <v>1.8909722222222223</v>
      </c>
      <c r="C24" s="1">
        <f t="shared" si="0"/>
        <v>4.2361111111111072E-2</v>
      </c>
      <c r="I24" s="2">
        <v>1.9104166666666667</v>
      </c>
      <c r="K24" s="1">
        <f t="shared" si="1"/>
        <v>5.6249999999999911E-2</v>
      </c>
      <c r="N24">
        <v>160.99999999999991</v>
      </c>
      <c r="Q24">
        <v>158.99999999999991</v>
      </c>
    </row>
    <row r="25" spans="1:17">
      <c r="A25" s="2">
        <v>1.9583333333333333</v>
      </c>
      <c r="C25" s="1">
        <f t="shared" si="0"/>
        <v>6.7361111111110983E-2</v>
      </c>
      <c r="I25" s="2">
        <v>1.9770833333333335</v>
      </c>
      <c r="K25" s="1">
        <f t="shared" si="1"/>
        <v>6.6666666666666874E-2</v>
      </c>
      <c r="N25">
        <v>154.00000000000009</v>
      </c>
      <c r="Q25">
        <v>160.00000000000006</v>
      </c>
    </row>
    <row r="26" spans="1:17">
      <c r="A26" s="2">
        <v>2.1305555555555555</v>
      </c>
      <c r="C26" s="1">
        <f t="shared" si="0"/>
        <v>0.17222222222222228</v>
      </c>
      <c r="I26" s="2">
        <v>2.1423611111111112</v>
      </c>
      <c r="K26" s="1">
        <f t="shared" si="1"/>
        <v>0.16527777777777763</v>
      </c>
      <c r="N26">
        <v>84.999999999999858</v>
      </c>
      <c r="Q26">
        <v>72.999999999999901</v>
      </c>
    </row>
    <row r="27" spans="1:17">
      <c r="A27" s="2">
        <v>2.1590277777777778</v>
      </c>
      <c r="C27" s="1">
        <f t="shared" si="0"/>
        <v>2.8472222222222232E-2</v>
      </c>
      <c r="D27" s="2"/>
      <c r="I27" s="2">
        <v>2.1545138888888888</v>
      </c>
      <c r="K27" s="1">
        <f t="shared" si="1"/>
        <v>1.2152777777777679E-2</v>
      </c>
      <c r="L27" s="2"/>
      <c r="N27">
        <v>173.00000000000017</v>
      </c>
      <c r="Q27">
        <v>173.00000000000017</v>
      </c>
    </row>
    <row r="28" spans="1:17">
      <c r="A28" s="20">
        <v>2.1875</v>
      </c>
      <c r="B28">
        <v>2</v>
      </c>
      <c r="C28" s="1">
        <f t="shared" si="0"/>
        <v>2.8472222222222232E-2</v>
      </c>
      <c r="I28" s="20">
        <v>2.1666666666666665</v>
      </c>
      <c r="J28" s="11">
        <v>2</v>
      </c>
      <c r="K28" s="1">
        <f t="shared" si="1"/>
        <v>1.2152777777777679E-2</v>
      </c>
      <c r="N28">
        <v>60.999999999999943</v>
      </c>
      <c r="Q28">
        <v>80.999999999999872</v>
      </c>
    </row>
    <row r="29" spans="1:17">
      <c r="D29" s="2"/>
      <c r="I29" s="2">
        <v>2.3576388888888888</v>
      </c>
      <c r="K29" s="1">
        <f t="shared" si="1"/>
        <v>0.19097222222222232</v>
      </c>
      <c r="L29" s="2"/>
      <c r="N29">
        <v>96.999999999999815</v>
      </c>
      <c r="Q29">
        <v>96.000000000000298</v>
      </c>
    </row>
    <row r="30" spans="1:17">
      <c r="D30" s="2"/>
      <c r="I30" s="2">
        <v>2.4791666666666665</v>
      </c>
      <c r="K30" s="1">
        <f t="shared" si="1"/>
        <v>0.12152777777777768</v>
      </c>
      <c r="L30" s="2"/>
      <c r="N30">
        <v>248.00000000000006</v>
      </c>
      <c r="Q30">
        <v>237.9999999999998</v>
      </c>
    </row>
    <row r="31" spans="1:17">
      <c r="D31" s="2"/>
      <c r="L31" s="2"/>
      <c r="N31">
        <v>41.000000000000014</v>
      </c>
      <c r="Q31">
        <v>17.499999999999858</v>
      </c>
    </row>
    <row r="32" spans="1:17">
      <c r="D32" s="2"/>
      <c r="L32" s="2"/>
      <c r="N32">
        <v>41.000000000000014</v>
      </c>
      <c r="Q32">
        <v>17.499999999999858</v>
      </c>
    </row>
    <row r="33" spans="4:17">
      <c r="D33" s="2"/>
      <c r="L33" s="2"/>
      <c r="Q33">
        <v>275.00000000000011</v>
      </c>
    </row>
    <row r="34" spans="4:17">
      <c r="D34" s="2"/>
      <c r="L34" s="2"/>
      <c r="Q34">
        <v>174.99999999999986</v>
      </c>
    </row>
    <row r="35" spans="4:17">
      <c r="D35" s="2"/>
      <c r="L35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T47"/>
  <sheetViews>
    <sheetView topLeftCell="A30" workbookViewId="0">
      <selection activeCell="A49" sqref="A49:C55"/>
    </sheetView>
  </sheetViews>
  <sheetFormatPr defaultRowHeight="15"/>
  <cols>
    <col min="2" max="2" width="16.28515625" customWidth="1"/>
    <col min="3" max="3" width="19.42578125" customWidth="1"/>
    <col min="11" max="11" width="23.7109375" customWidth="1"/>
    <col min="12" max="12" width="20.42578125" customWidth="1"/>
    <col min="13" max="13" width="12.7109375" customWidth="1"/>
    <col min="14" max="14" width="13.7109375" customWidth="1"/>
  </cols>
  <sheetData>
    <row r="1" spans="1:20">
      <c r="A1" t="s">
        <v>245</v>
      </c>
      <c r="J1" s="7" t="s">
        <v>88</v>
      </c>
      <c r="K1" s="8"/>
      <c r="L1" s="8" t="s">
        <v>6</v>
      </c>
      <c r="M1" s="8" t="s">
        <v>19</v>
      </c>
      <c r="N1" s="8" t="s">
        <v>24</v>
      </c>
      <c r="O1" s="8"/>
      <c r="P1" s="8" t="s">
        <v>89</v>
      </c>
      <c r="Q1" s="8"/>
      <c r="R1" s="8"/>
    </row>
    <row r="2" spans="1:20">
      <c r="A2" t="s">
        <v>204</v>
      </c>
      <c r="B2">
        <v>45</v>
      </c>
      <c r="J2" s="7" t="s">
        <v>245</v>
      </c>
      <c r="K2" s="8"/>
      <c r="L2" s="8" t="s">
        <v>203</v>
      </c>
      <c r="M2" s="8"/>
      <c r="N2" s="8"/>
      <c r="O2" s="8"/>
      <c r="P2" s="8"/>
      <c r="Q2" s="8"/>
      <c r="R2" s="8"/>
    </row>
    <row r="3" spans="1:20">
      <c r="A3" t="s">
        <v>205</v>
      </c>
      <c r="B3">
        <v>42</v>
      </c>
      <c r="K3" s="8" t="s">
        <v>242</v>
      </c>
      <c r="L3" s="8" t="s">
        <v>255</v>
      </c>
      <c r="M3" s="8"/>
      <c r="N3" s="8"/>
      <c r="O3" s="8"/>
      <c r="P3" s="8"/>
      <c r="Q3" s="8" t="s">
        <v>90</v>
      </c>
      <c r="R3" s="8"/>
    </row>
    <row r="4" spans="1:20">
      <c r="K4" s="8"/>
      <c r="L4" s="8">
        <f>29*60+9</f>
        <v>1749</v>
      </c>
      <c r="M4" s="8"/>
      <c r="N4" s="8"/>
      <c r="O4" s="8" t="s">
        <v>220</v>
      </c>
      <c r="P4" s="8">
        <f>M6/L6</f>
        <v>3.3333333333333333E-2</v>
      </c>
      <c r="Q4" s="8"/>
      <c r="R4" s="8"/>
    </row>
    <row r="5" spans="1:20">
      <c r="K5" s="8"/>
      <c r="L5" s="8" t="s">
        <v>20</v>
      </c>
      <c r="M5" s="8" t="s">
        <v>21</v>
      </c>
      <c r="N5" s="8" t="s">
        <v>22</v>
      </c>
      <c r="O5" s="8" t="s">
        <v>23</v>
      </c>
      <c r="P5" s="8"/>
      <c r="Q5" s="8"/>
      <c r="R5" s="8"/>
      <c r="S5" s="8" t="s">
        <v>99</v>
      </c>
      <c r="T5" s="8"/>
    </row>
    <row r="6" spans="1:20">
      <c r="A6" t="s">
        <v>206</v>
      </c>
      <c r="B6" t="s">
        <v>207</v>
      </c>
      <c r="C6" t="s">
        <v>123</v>
      </c>
      <c r="D6" t="s">
        <v>124</v>
      </c>
      <c r="E6" t="s">
        <v>22</v>
      </c>
      <c r="G6" t="s">
        <v>23</v>
      </c>
      <c r="K6" s="8" t="s">
        <v>31</v>
      </c>
      <c r="L6" s="8">
        <v>30</v>
      </c>
      <c r="M6" s="8">
        <v>1</v>
      </c>
      <c r="N6" s="8">
        <v>2</v>
      </c>
      <c r="O6" s="8">
        <v>29</v>
      </c>
      <c r="P6" s="8"/>
      <c r="Q6" s="8"/>
      <c r="R6" s="8"/>
      <c r="S6" s="8" t="s">
        <v>13</v>
      </c>
      <c r="T6" s="8">
        <v>45</v>
      </c>
    </row>
    <row r="7" spans="1:20">
      <c r="A7" s="1">
        <v>6.805555555555555E-2</v>
      </c>
      <c r="B7" s="1">
        <f>A7</f>
        <v>6.805555555555555E-2</v>
      </c>
      <c r="C7" s="1">
        <v>0.34722222222222227</v>
      </c>
      <c r="D7" s="1">
        <v>0.34722222222222227</v>
      </c>
      <c r="E7" s="1">
        <v>1.5972222222222224E-2</v>
      </c>
      <c r="F7" s="1">
        <f>E7</f>
        <v>1.5972222222222224E-2</v>
      </c>
      <c r="G7" s="1">
        <v>7.9861111111111105E-2</v>
      </c>
      <c r="H7" s="1">
        <f>G7</f>
        <v>7.9861111111111105E-2</v>
      </c>
      <c r="K7" s="8" t="s">
        <v>65</v>
      </c>
      <c r="L7" s="8" t="s">
        <v>252</v>
      </c>
      <c r="M7" s="8" t="s">
        <v>246</v>
      </c>
      <c r="N7" s="8" t="s">
        <v>247</v>
      </c>
      <c r="O7" s="8" t="s">
        <v>251</v>
      </c>
      <c r="P7" s="8"/>
      <c r="Q7" s="8"/>
      <c r="R7" s="8"/>
      <c r="S7" s="8" t="s">
        <v>14</v>
      </c>
      <c r="T7" s="8">
        <v>42</v>
      </c>
    </row>
    <row r="8" spans="1:20">
      <c r="A8" s="1">
        <v>0.12291666666666667</v>
      </c>
      <c r="B8" s="1">
        <f>A8-A7</f>
        <v>5.4861111111111124E-2</v>
      </c>
      <c r="E8" s="1">
        <v>0.54097222222222219</v>
      </c>
      <c r="F8" s="1">
        <f>E8-F7</f>
        <v>0.52499999999999991</v>
      </c>
      <c r="G8" s="1">
        <v>0.13194444444444445</v>
      </c>
      <c r="H8" s="1">
        <f>G8-G7</f>
        <v>5.2083333333333343E-2</v>
      </c>
    </row>
    <row r="9" spans="1:20">
      <c r="A9" s="1">
        <v>0.1451388888888889</v>
      </c>
      <c r="B9" s="1">
        <f t="shared" ref="B9:B37" si="0">A9-A8</f>
        <v>2.2222222222222227E-2</v>
      </c>
      <c r="G9" s="1">
        <v>0.15555555555555556</v>
      </c>
      <c r="H9" s="1">
        <f t="shared" ref="H9:H36" si="1">G9-G8</f>
        <v>2.361111111111111E-2</v>
      </c>
      <c r="K9" t="s">
        <v>91</v>
      </c>
      <c r="L9" t="s">
        <v>92</v>
      </c>
      <c r="M9" t="s">
        <v>93</v>
      </c>
      <c r="N9" t="s">
        <v>94</v>
      </c>
      <c r="P9" s="18"/>
    </row>
    <row r="10" spans="1:20">
      <c r="A10" s="1">
        <v>0.21180555555555555</v>
      </c>
      <c r="B10" s="1">
        <f t="shared" si="0"/>
        <v>6.6666666666666652E-2</v>
      </c>
      <c r="G10" s="1">
        <v>0.22152777777777777</v>
      </c>
      <c r="H10" s="1">
        <f t="shared" si="1"/>
        <v>6.597222222222221E-2</v>
      </c>
      <c r="K10">
        <v>98</v>
      </c>
      <c r="L10" s="18">
        <f>8*60+20</f>
        <v>500</v>
      </c>
      <c r="M10" s="18">
        <v>23</v>
      </c>
      <c r="N10">
        <v>114.99999999999999</v>
      </c>
    </row>
    <row r="11" spans="1:20">
      <c r="A11" s="1">
        <v>0.22708333333333333</v>
      </c>
      <c r="B11" s="1">
        <f t="shared" si="0"/>
        <v>1.5277777777777779E-2</v>
      </c>
      <c r="G11" s="1">
        <v>0.2388888888888889</v>
      </c>
      <c r="H11" s="1">
        <f t="shared" si="1"/>
        <v>1.7361111111111133E-2</v>
      </c>
      <c r="K11">
        <v>79.000000000000014</v>
      </c>
      <c r="M11">
        <f>12*60+36</f>
        <v>756</v>
      </c>
      <c r="N11">
        <v>75.000000000000014</v>
      </c>
    </row>
    <row r="12" spans="1:20">
      <c r="A12" s="1">
        <v>0.29166666666666669</v>
      </c>
      <c r="B12" s="1">
        <f t="shared" si="0"/>
        <v>6.4583333333333354E-2</v>
      </c>
      <c r="G12" s="1">
        <v>0.2986111111111111</v>
      </c>
      <c r="H12" s="1">
        <f t="shared" si="1"/>
        <v>5.9722222222222204E-2</v>
      </c>
      <c r="K12">
        <v>32</v>
      </c>
      <c r="N12">
        <v>34</v>
      </c>
    </row>
    <row r="13" spans="1:20">
      <c r="A13" s="1">
        <v>0.31597222222222221</v>
      </c>
      <c r="B13" s="1">
        <f t="shared" si="0"/>
        <v>2.4305555555555525E-2</v>
      </c>
      <c r="G13" s="1">
        <v>0.37847222222222227</v>
      </c>
      <c r="H13" s="1">
        <f t="shared" si="1"/>
        <v>7.986111111111116E-2</v>
      </c>
      <c r="K13">
        <v>95.999999999999972</v>
      </c>
      <c r="N13">
        <v>94.999999999999986</v>
      </c>
    </row>
    <row r="14" spans="1:20">
      <c r="A14" s="1">
        <v>0.3666666666666667</v>
      </c>
      <c r="B14" s="1">
        <f t="shared" si="0"/>
        <v>5.0694444444444486E-2</v>
      </c>
      <c r="G14" s="1">
        <v>0.38958333333333334</v>
      </c>
      <c r="H14" s="1">
        <f t="shared" si="1"/>
        <v>1.1111111111111072E-2</v>
      </c>
      <c r="K14">
        <v>22</v>
      </c>
      <c r="N14">
        <v>25.000000000000028</v>
      </c>
    </row>
    <row r="15" spans="1:20">
      <c r="A15" s="1">
        <v>0.3840277777777778</v>
      </c>
      <c r="B15" s="1">
        <f t="shared" si="0"/>
        <v>1.7361111111111105E-2</v>
      </c>
      <c r="G15" s="1">
        <v>0.4375</v>
      </c>
      <c r="H15" s="1">
        <f t="shared" si="1"/>
        <v>4.7916666666666663E-2</v>
      </c>
      <c r="K15">
        <v>93.000000000000028</v>
      </c>
      <c r="N15">
        <v>85.999999999999972</v>
      </c>
    </row>
    <row r="16" spans="1:20">
      <c r="A16" s="1">
        <v>0.4284722222222222</v>
      </c>
      <c r="B16" s="1">
        <f t="shared" si="0"/>
        <v>4.4444444444444398E-2</v>
      </c>
      <c r="G16" s="1">
        <v>0.44305555555555554</v>
      </c>
      <c r="H16" s="1">
        <f t="shared" si="1"/>
        <v>5.5555555555555358E-3</v>
      </c>
      <c r="K16">
        <v>34.999999999999957</v>
      </c>
      <c r="N16">
        <v>115.00000000000007</v>
      </c>
    </row>
    <row r="17" spans="1:14">
      <c r="A17" s="1">
        <v>0.43055555555555558</v>
      </c>
      <c r="B17" s="1">
        <f t="shared" si="0"/>
        <v>2.0833333333333814E-3</v>
      </c>
      <c r="G17" s="1">
        <v>0.4548611111111111</v>
      </c>
      <c r="H17" s="1">
        <f t="shared" si="1"/>
        <v>1.1805555555555569E-2</v>
      </c>
      <c r="K17">
        <v>73.000000000000057</v>
      </c>
      <c r="N17">
        <v>15.999999999999943</v>
      </c>
    </row>
    <row r="18" spans="1:14">
      <c r="A18" s="1">
        <v>0.44861111111111113</v>
      </c>
      <c r="B18" s="1">
        <f t="shared" si="0"/>
        <v>1.8055555555555547E-2</v>
      </c>
      <c r="G18" s="1">
        <v>0.5</v>
      </c>
      <c r="H18" s="1">
        <f t="shared" si="1"/>
        <v>4.5138888888888895E-2</v>
      </c>
      <c r="K18">
        <v>24.999999999999993</v>
      </c>
      <c r="N18">
        <v>69</v>
      </c>
    </row>
    <row r="19" spans="1:14">
      <c r="A19" s="1">
        <v>0.4916666666666667</v>
      </c>
      <c r="B19" s="1">
        <f t="shared" si="0"/>
        <v>4.3055555555555569E-2</v>
      </c>
      <c r="G19" s="1">
        <v>0.50347222222222221</v>
      </c>
      <c r="H19" s="1">
        <f t="shared" si="1"/>
        <v>3.4722222222222099E-3</v>
      </c>
      <c r="K19">
        <v>63.999999999999929</v>
      </c>
      <c r="N19">
        <v>7.9999999999999716</v>
      </c>
    </row>
    <row r="20" spans="1:14">
      <c r="A20" s="1">
        <v>0.49583333333333335</v>
      </c>
      <c r="B20" s="1">
        <f t="shared" si="0"/>
        <v>4.1666666666666519E-3</v>
      </c>
      <c r="G20" s="1">
        <v>0.60763888888888895</v>
      </c>
      <c r="H20" s="1">
        <f t="shared" si="1"/>
        <v>0.10416666666666674</v>
      </c>
      <c r="K20">
        <v>3.0000000000000693</v>
      </c>
      <c r="N20">
        <v>17.000000000000021</v>
      </c>
    </row>
    <row r="21" spans="1:14">
      <c r="A21" s="1">
        <v>0.6020833333333333</v>
      </c>
      <c r="B21" s="1">
        <f t="shared" si="0"/>
        <v>0.10624999999999996</v>
      </c>
      <c r="G21" s="1">
        <v>0.66666666666666663</v>
      </c>
      <c r="H21" s="1">
        <f t="shared" si="1"/>
        <v>5.9027777777777679E-2</v>
      </c>
      <c r="K21">
        <v>25.999999999999986</v>
      </c>
      <c r="N21">
        <v>65.000000000000014</v>
      </c>
    </row>
    <row r="22" spans="1:14">
      <c r="A22" s="1">
        <v>0.65625</v>
      </c>
      <c r="B22" s="1">
        <f t="shared" si="0"/>
        <v>5.4166666666666696E-2</v>
      </c>
      <c r="G22" s="1">
        <v>0.6777777777777777</v>
      </c>
      <c r="H22" s="1">
        <f t="shared" si="1"/>
        <v>1.1111111111111072E-2</v>
      </c>
      <c r="K22">
        <v>62.000000000000014</v>
      </c>
      <c r="N22">
        <v>4.9999999999999822</v>
      </c>
    </row>
    <row r="23" spans="1:14">
      <c r="A23" s="1">
        <v>0.66180555555555554</v>
      </c>
      <c r="B23" s="1">
        <f t="shared" si="0"/>
        <v>5.5555555555555358E-3</v>
      </c>
      <c r="G23" s="1">
        <v>0.80763888888888891</v>
      </c>
      <c r="H23" s="1">
        <f t="shared" si="1"/>
        <v>0.1298611111111112</v>
      </c>
      <c r="K23">
        <v>5.9999999999999787</v>
      </c>
      <c r="N23">
        <v>150.00000000000011</v>
      </c>
    </row>
    <row r="24" spans="1:14">
      <c r="A24" s="1">
        <v>0.7993055555555556</v>
      </c>
      <c r="B24" s="1">
        <f t="shared" si="0"/>
        <v>0.13750000000000007</v>
      </c>
      <c r="G24" s="1">
        <v>0.82638888888888884</v>
      </c>
      <c r="H24" s="1">
        <f t="shared" si="1"/>
        <v>1.8749999999999933E-2</v>
      </c>
      <c r="K24">
        <v>152.99999999999994</v>
      </c>
      <c r="N24">
        <v>84.999999999999858</v>
      </c>
    </row>
    <row r="25" spans="1:14">
      <c r="A25" s="1">
        <v>0.82152777777777775</v>
      </c>
      <c r="B25" s="1">
        <f t="shared" si="0"/>
        <v>2.2222222222222143E-2</v>
      </c>
      <c r="G25" s="1">
        <v>0.8340277777777777</v>
      </c>
      <c r="H25" s="1">
        <f t="shared" si="1"/>
        <v>7.6388888888888618E-3</v>
      </c>
      <c r="K25">
        <v>78.000000000000043</v>
      </c>
      <c r="N25">
        <v>15.999999999999943</v>
      </c>
    </row>
    <row r="26" spans="1:14">
      <c r="A26" s="1">
        <v>0.82500000000000007</v>
      </c>
      <c r="B26" s="1">
        <f t="shared" si="0"/>
        <v>3.4722222222223209E-3</v>
      </c>
      <c r="G26" s="1">
        <v>0.85972222222222217</v>
      </c>
      <c r="H26" s="1">
        <f t="shared" si="1"/>
        <v>2.5694444444444464E-2</v>
      </c>
      <c r="K26">
        <v>7.9999999999999716</v>
      </c>
      <c r="N26">
        <v>187.00000000000014</v>
      </c>
    </row>
    <row r="27" spans="1:14">
      <c r="A27" s="1">
        <v>0.84722222222222221</v>
      </c>
      <c r="B27" s="1">
        <f t="shared" si="0"/>
        <v>2.2222222222222143E-2</v>
      </c>
      <c r="G27" s="1">
        <v>0.88611111111111107</v>
      </c>
      <c r="H27" s="1">
        <f t="shared" si="1"/>
        <v>2.6388888888888906E-2</v>
      </c>
      <c r="K27">
        <v>198.00000000000009</v>
      </c>
      <c r="N27">
        <v>26.999999999999904</v>
      </c>
    </row>
    <row r="28" spans="1:14">
      <c r="A28" s="1">
        <v>0.87638888888888899</v>
      </c>
      <c r="B28" s="1">
        <f t="shared" si="0"/>
        <v>2.9166666666666785E-2</v>
      </c>
      <c r="G28" s="1">
        <v>0.93958333333333333</v>
      </c>
      <c r="H28" s="1">
        <f t="shared" si="1"/>
        <v>5.3472222222222254E-2</v>
      </c>
      <c r="K28">
        <v>31.999999999999886</v>
      </c>
      <c r="N28">
        <v>10.999999999999961</v>
      </c>
    </row>
    <row r="29" spans="1:14">
      <c r="A29" s="1">
        <v>0.9291666666666667</v>
      </c>
      <c r="B29" s="1">
        <f t="shared" si="0"/>
        <v>5.2777777777777701E-2</v>
      </c>
      <c r="G29" s="1">
        <v>0.96319444444444446</v>
      </c>
      <c r="H29" s="1">
        <f t="shared" si="1"/>
        <v>2.3611111111111138E-2</v>
      </c>
      <c r="K29">
        <v>5.0000000000001421</v>
      </c>
      <c r="N29">
        <v>37.000000000000028</v>
      </c>
    </row>
    <row r="30" spans="1:14">
      <c r="A30" s="1">
        <v>0.95694444444444438</v>
      </c>
      <c r="B30" s="1">
        <f t="shared" si="0"/>
        <v>2.7777777777777679E-2</v>
      </c>
      <c r="G30" s="2">
        <v>1</v>
      </c>
      <c r="H30" s="1">
        <f t="shared" si="1"/>
        <v>3.6805555555555536E-2</v>
      </c>
      <c r="K30">
        <v>31.999999999999886</v>
      </c>
      <c r="N30">
        <v>38.000000000000028</v>
      </c>
    </row>
    <row r="31" spans="1:14">
      <c r="A31" s="1">
        <v>0.99236111111111114</v>
      </c>
      <c r="B31" s="1">
        <f t="shared" si="0"/>
        <v>3.5416666666666763E-2</v>
      </c>
      <c r="G31" s="2">
        <v>1.117361111111111</v>
      </c>
      <c r="H31" s="1">
        <f t="shared" si="1"/>
        <v>0.11736111111111103</v>
      </c>
      <c r="K31">
        <v>42.000000000000171</v>
      </c>
      <c r="N31">
        <v>77.000000000000043</v>
      </c>
    </row>
    <row r="32" spans="1:14">
      <c r="A32" s="2">
        <v>1.1034722222222222</v>
      </c>
      <c r="B32" s="1">
        <f t="shared" si="0"/>
        <v>0.11111111111111105</v>
      </c>
      <c r="G32" s="2">
        <v>1.1493055555555556</v>
      </c>
      <c r="H32" s="1">
        <f t="shared" si="1"/>
        <v>3.1944444444444553E-2</v>
      </c>
      <c r="K32">
        <v>75.999999999999886</v>
      </c>
      <c r="N32">
        <v>34.000000000000043</v>
      </c>
    </row>
    <row r="33" spans="1:14">
      <c r="A33" s="2">
        <v>1.14375</v>
      </c>
      <c r="B33" s="1">
        <f t="shared" si="0"/>
        <v>4.0277777777777857E-2</v>
      </c>
      <c r="G33" s="2">
        <v>1.1583333333333334</v>
      </c>
      <c r="H33" s="1">
        <f t="shared" si="1"/>
        <v>9.0277777777778567E-3</v>
      </c>
      <c r="K33">
        <v>39.999999999999858</v>
      </c>
      <c r="N33">
        <v>52.999999999999972</v>
      </c>
    </row>
    <row r="34" spans="1:14">
      <c r="A34" s="2">
        <v>1.1493055555555556</v>
      </c>
      <c r="B34" s="1">
        <f t="shared" si="0"/>
        <v>5.5555555555555358E-3</v>
      </c>
      <c r="G34" s="2">
        <v>1.1666666666666667</v>
      </c>
      <c r="H34" s="1">
        <f t="shared" si="1"/>
        <v>8.3333333333333037E-3</v>
      </c>
      <c r="K34">
        <v>51.000000000000142</v>
      </c>
      <c r="N34">
        <v>168.99999999999989</v>
      </c>
    </row>
    <row r="35" spans="1:14">
      <c r="A35" s="2">
        <v>1.1618055555555555</v>
      </c>
      <c r="B35" s="1">
        <f t="shared" si="0"/>
        <v>1.2499999999999956E-2</v>
      </c>
      <c r="G35" s="2">
        <v>1.1965277777777776</v>
      </c>
      <c r="H35" s="1">
        <f t="shared" si="1"/>
        <v>2.9861111111110894E-2</v>
      </c>
      <c r="K35">
        <v>159.99999999999989</v>
      </c>
      <c r="N35">
        <v>46.000000000000156</v>
      </c>
    </row>
    <row r="36" spans="1:14">
      <c r="A36" s="2">
        <v>1.1736111111111112</v>
      </c>
      <c r="B36" s="1">
        <f t="shared" si="0"/>
        <v>1.1805555555555625E-2</v>
      </c>
      <c r="G36" s="2">
        <v>1.2145833333333333</v>
      </c>
      <c r="H36" s="1">
        <f t="shared" si="1"/>
        <v>1.8055555555555713E-2</v>
      </c>
      <c r="K36">
        <v>58.000000000000114</v>
      </c>
      <c r="N36">
        <v>13.000000000000114</v>
      </c>
    </row>
    <row r="37" spans="1:14">
      <c r="A37" s="2">
        <v>1.2069444444444444</v>
      </c>
      <c r="B37" s="1">
        <f t="shared" si="0"/>
        <v>3.3333333333333215E-2</v>
      </c>
      <c r="K37">
        <v>7.9999999999999716</v>
      </c>
      <c r="N37">
        <v>11.999999999999957</v>
      </c>
    </row>
    <row r="38" spans="1:14">
      <c r="K38">
        <v>17.999999999999936</v>
      </c>
      <c r="N38">
        <v>42.999999999999687</v>
      </c>
    </row>
    <row r="39" spans="1:14">
      <c r="K39">
        <v>17.000000000000099</v>
      </c>
      <c r="N39">
        <v>26.000000000000227</v>
      </c>
    </row>
    <row r="40" spans="1:14">
      <c r="K40">
        <v>47.999999999999829</v>
      </c>
    </row>
    <row r="47" spans="1:14">
      <c r="A47" t="s">
        <v>257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M56"/>
  <sheetViews>
    <sheetView tabSelected="1" zoomScale="80" zoomScaleNormal="80" workbookViewId="0">
      <selection activeCell="M7" sqref="M7"/>
    </sheetView>
  </sheetViews>
  <sheetFormatPr defaultRowHeight="15"/>
  <cols>
    <col min="1" max="1" width="13" customWidth="1"/>
    <col min="2" max="2" width="24.5703125" customWidth="1"/>
    <col min="3" max="3" width="24.140625" customWidth="1"/>
    <col min="4" max="4" width="21.140625" customWidth="1"/>
    <col min="5" max="5" width="23.42578125" customWidth="1"/>
    <col min="10" max="10" width="14" customWidth="1"/>
  </cols>
  <sheetData>
    <row r="1" spans="1:13">
      <c r="A1" s="7" t="s">
        <v>88</v>
      </c>
      <c r="B1" s="8"/>
      <c r="C1" s="8" t="s">
        <v>6</v>
      </c>
      <c r="D1" s="8" t="s">
        <v>19</v>
      </c>
      <c r="E1" s="8" t="s">
        <v>24</v>
      </c>
      <c r="F1" s="8"/>
      <c r="G1" s="8" t="s">
        <v>89</v>
      </c>
      <c r="H1" s="8"/>
      <c r="I1" s="8"/>
    </row>
    <row r="2" spans="1:13">
      <c r="A2" s="7" t="s">
        <v>0</v>
      </c>
      <c r="B2" s="8"/>
      <c r="C2" s="8">
        <v>23</v>
      </c>
      <c r="D2" s="8">
        <v>56</v>
      </c>
      <c r="E2" s="8">
        <f>56+23</f>
        <v>79</v>
      </c>
      <c r="F2" s="8"/>
      <c r="G2" s="8">
        <v>0</v>
      </c>
      <c r="H2" s="8"/>
      <c r="I2" s="8"/>
    </row>
    <row r="3" spans="1:13">
      <c r="B3" s="8" t="s">
        <v>236</v>
      </c>
      <c r="C3" s="8" t="s">
        <v>222</v>
      </c>
      <c r="D3" s="8"/>
      <c r="E3" s="8"/>
      <c r="F3" s="8"/>
      <c r="G3" s="8"/>
      <c r="H3" s="8" t="s">
        <v>90</v>
      </c>
      <c r="I3" s="8">
        <v>0</v>
      </c>
    </row>
    <row r="4" spans="1:13">
      <c r="B4" s="8"/>
      <c r="C4" s="8" t="s">
        <v>223</v>
      </c>
      <c r="D4" s="8"/>
      <c r="E4" s="8" t="s">
        <v>220</v>
      </c>
      <c r="F4" s="8">
        <f>C2/D2</f>
        <v>0.4107142857142857</v>
      </c>
      <c r="G4" s="8"/>
      <c r="H4" s="8"/>
      <c r="I4" s="8"/>
    </row>
    <row r="5" spans="1:13">
      <c r="B5" s="8"/>
      <c r="C5" s="8" t="s">
        <v>20</v>
      </c>
      <c r="D5" s="8" t="s">
        <v>21</v>
      </c>
      <c r="E5" s="8" t="s">
        <v>22</v>
      </c>
      <c r="F5" s="8" t="s">
        <v>23</v>
      </c>
      <c r="G5" s="8"/>
      <c r="H5" s="8"/>
      <c r="I5" s="8"/>
      <c r="J5" s="8" t="s">
        <v>99</v>
      </c>
      <c r="K5" s="8"/>
    </row>
    <row r="6" spans="1:13">
      <c r="B6" s="8" t="s">
        <v>31</v>
      </c>
      <c r="C6" s="8">
        <v>79</v>
      </c>
      <c r="D6" s="8">
        <v>23</v>
      </c>
      <c r="E6" s="8">
        <v>26</v>
      </c>
      <c r="F6" s="8">
        <v>56</v>
      </c>
      <c r="G6" s="8"/>
      <c r="H6" s="8"/>
      <c r="I6" s="8"/>
      <c r="J6" s="8" t="s">
        <v>13</v>
      </c>
      <c r="K6" s="8">
        <v>42</v>
      </c>
    </row>
    <row r="7" spans="1:13">
      <c r="B7" s="8" t="s">
        <v>65</v>
      </c>
      <c r="C7" s="8" t="s">
        <v>208</v>
      </c>
      <c r="D7" s="8" t="s">
        <v>209</v>
      </c>
      <c r="E7" s="8" t="s">
        <v>210</v>
      </c>
      <c r="F7" s="8" t="s">
        <v>211</v>
      </c>
      <c r="G7" s="8"/>
      <c r="H7" s="8"/>
      <c r="I7" s="8"/>
      <c r="J7" s="8" t="s">
        <v>14</v>
      </c>
      <c r="K7" s="8">
        <v>35</v>
      </c>
      <c r="M7">
        <v>68.599999999999994</v>
      </c>
    </row>
    <row r="8" spans="1:13">
      <c r="M8">
        <v>36</v>
      </c>
    </row>
    <row r="9" spans="1:13">
      <c r="A9" s="7" t="s">
        <v>88</v>
      </c>
      <c r="B9" s="8"/>
      <c r="C9" s="8" t="s">
        <v>6</v>
      </c>
      <c r="D9" s="8" t="s">
        <v>19</v>
      </c>
      <c r="E9" s="8" t="s">
        <v>24</v>
      </c>
      <c r="F9" s="8"/>
      <c r="G9" s="8" t="s">
        <v>89</v>
      </c>
      <c r="H9" s="8"/>
      <c r="I9" s="8"/>
      <c r="M9">
        <v>11</v>
      </c>
    </row>
    <row r="10" spans="1:13">
      <c r="A10" s="7" t="s">
        <v>12</v>
      </c>
      <c r="B10" s="8"/>
      <c r="C10" s="8">
        <v>23</v>
      </c>
      <c r="D10" s="8">
        <v>106</v>
      </c>
      <c r="E10" s="8">
        <v>129</v>
      </c>
      <c r="F10" s="8"/>
      <c r="G10" s="8">
        <v>28</v>
      </c>
      <c r="H10" s="8"/>
      <c r="I10" s="8"/>
      <c r="M10">
        <v>4</v>
      </c>
    </row>
    <row r="11" spans="1:13">
      <c r="B11" s="8" t="s">
        <v>236</v>
      </c>
      <c r="C11" s="8" t="s">
        <v>232</v>
      </c>
      <c r="D11" s="8"/>
      <c r="E11" s="8"/>
      <c r="F11" s="8"/>
      <c r="G11" s="8"/>
      <c r="H11" s="8" t="s">
        <v>90</v>
      </c>
      <c r="I11" s="8">
        <v>0.21705426356589147</v>
      </c>
      <c r="M11">
        <v>127</v>
      </c>
    </row>
    <row r="12" spans="1:13">
      <c r="B12" s="8"/>
      <c r="C12" s="8" t="s">
        <v>233</v>
      </c>
      <c r="D12" s="8"/>
      <c r="E12" s="8" t="s">
        <v>220</v>
      </c>
      <c r="F12" s="8">
        <f>C10/D10</f>
        <v>0.21698113207547171</v>
      </c>
      <c r="G12" s="8"/>
      <c r="H12" s="8"/>
      <c r="I12" s="8"/>
      <c r="M12">
        <v>53</v>
      </c>
    </row>
    <row r="13" spans="1:13">
      <c r="B13" s="8"/>
      <c r="C13" s="8" t="s">
        <v>20</v>
      </c>
      <c r="D13" s="8" t="s">
        <v>21</v>
      </c>
      <c r="E13" s="8" t="s">
        <v>22</v>
      </c>
      <c r="F13" s="8" t="s">
        <v>23</v>
      </c>
      <c r="G13" s="8"/>
      <c r="H13" s="8"/>
      <c r="I13" s="8"/>
      <c r="J13" s="8" t="s">
        <v>99</v>
      </c>
      <c r="K13" s="8"/>
      <c r="M13">
        <f>M12+M11+M10+M9+M8+M7</f>
        <v>299.60000000000002</v>
      </c>
    </row>
    <row r="14" spans="1:13">
      <c r="B14" s="8" t="s">
        <v>31</v>
      </c>
      <c r="C14" s="8">
        <v>101</v>
      </c>
      <c r="D14" s="8">
        <v>20</v>
      </c>
      <c r="E14" s="8">
        <v>18</v>
      </c>
      <c r="F14" s="8">
        <v>90</v>
      </c>
      <c r="G14" s="8"/>
      <c r="H14" s="8"/>
      <c r="I14" s="8"/>
      <c r="J14" s="8" t="s">
        <v>13</v>
      </c>
      <c r="K14" s="8">
        <v>45</v>
      </c>
      <c r="M14">
        <f>M13/6</f>
        <v>49.933333333333337</v>
      </c>
    </row>
    <row r="15" spans="1:13">
      <c r="B15" s="8" t="s">
        <v>65</v>
      </c>
      <c r="C15" s="8" t="s">
        <v>96</v>
      </c>
      <c r="D15" s="8" t="s">
        <v>95</v>
      </c>
      <c r="E15" s="8" t="s">
        <v>97</v>
      </c>
      <c r="F15" s="8" t="s">
        <v>98</v>
      </c>
      <c r="G15" s="8"/>
      <c r="H15" s="8"/>
      <c r="I15" s="8"/>
      <c r="J15" s="8" t="s">
        <v>14</v>
      </c>
      <c r="K15" s="8">
        <v>40</v>
      </c>
    </row>
    <row r="17" spans="1:11">
      <c r="A17" s="7" t="s">
        <v>88</v>
      </c>
      <c r="B17" s="8"/>
      <c r="C17" s="8" t="s">
        <v>6</v>
      </c>
      <c r="D17" s="8" t="s">
        <v>19</v>
      </c>
      <c r="E17" s="8" t="s">
        <v>24</v>
      </c>
      <c r="F17" s="8"/>
      <c r="G17" s="8" t="s">
        <v>89</v>
      </c>
      <c r="H17" s="8"/>
      <c r="I17" s="8"/>
    </row>
    <row r="18" spans="1:11">
      <c r="A18" s="7" t="s">
        <v>149</v>
      </c>
      <c r="B18" s="8"/>
      <c r="C18" s="8">
        <v>7</v>
      </c>
      <c r="D18" s="8">
        <v>138</v>
      </c>
      <c r="E18" s="8">
        <f>D18+C18</f>
        <v>145</v>
      </c>
      <c r="F18" s="8"/>
      <c r="G18" s="8"/>
      <c r="H18" s="8">
        <v>18</v>
      </c>
      <c r="I18" s="8"/>
    </row>
    <row r="19" spans="1:11">
      <c r="B19" s="8" t="s">
        <v>236</v>
      </c>
      <c r="C19" s="8" t="s">
        <v>235</v>
      </c>
      <c r="D19" s="8"/>
      <c r="E19" s="8"/>
      <c r="F19" s="8"/>
      <c r="G19" s="8"/>
      <c r="H19" s="8" t="s">
        <v>90</v>
      </c>
      <c r="I19" s="8">
        <f>H18/E18</f>
        <v>0.12413793103448276</v>
      </c>
    </row>
    <row r="20" spans="1:11">
      <c r="B20" s="8"/>
      <c r="C20" s="8" t="s">
        <v>237</v>
      </c>
      <c r="D20" s="8"/>
      <c r="E20" s="8" t="s">
        <v>220</v>
      </c>
      <c r="F20" s="8">
        <f>D22/C22</f>
        <v>5.8333333333333334E-2</v>
      </c>
      <c r="G20" s="8"/>
      <c r="H20" s="8"/>
      <c r="I20" s="8"/>
    </row>
    <row r="21" spans="1:11">
      <c r="B21" s="8"/>
      <c r="C21" s="8" t="s">
        <v>20</v>
      </c>
      <c r="D21" s="8" t="s">
        <v>21</v>
      </c>
      <c r="E21" s="8" t="s">
        <v>22</v>
      </c>
      <c r="F21" s="8" t="s">
        <v>23</v>
      </c>
      <c r="G21" s="8"/>
      <c r="H21" s="8"/>
      <c r="I21" s="8"/>
      <c r="J21" s="8" t="s">
        <v>99</v>
      </c>
      <c r="K21" s="8"/>
    </row>
    <row r="22" spans="1:11">
      <c r="B22" s="8" t="s">
        <v>31</v>
      </c>
      <c r="C22" s="8">
        <v>120</v>
      </c>
      <c r="D22" s="8">
        <v>7</v>
      </c>
      <c r="E22" s="8">
        <v>5</v>
      </c>
      <c r="F22" s="8">
        <v>54</v>
      </c>
      <c r="G22" s="8"/>
      <c r="H22" s="8"/>
      <c r="I22" s="8"/>
      <c r="J22" s="8" t="s">
        <v>13</v>
      </c>
      <c r="K22" s="8">
        <v>94</v>
      </c>
    </row>
    <row r="23" spans="1:11">
      <c r="B23" s="8" t="s">
        <v>65</v>
      </c>
      <c r="C23" s="8" t="s">
        <v>147</v>
      </c>
      <c r="D23" s="8" t="s">
        <v>146</v>
      </c>
      <c r="E23" s="8" t="s">
        <v>218</v>
      </c>
      <c r="F23" s="8" t="s">
        <v>148</v>
      </c>
      <c r="G23" s="8"/>
      <c r="H23" s="8"/>
      <c r="I23" s="8"/>
      <c r="J23" s="8" t="s">
        <v>14</v>
      </c>
      <c r="K23" s="8">
        <v>89</v>
      </c>
    </row>
    <row r="25" spans="1:11">
      <c r="A25" s="7" t="s">
        <v>88</v>
      </c>
      <c r="B25" s="8"/>
      <c r="C25" s="8" t="s">
        <v>6</v>
      </c>
      <c r="D25" s="8" t="s">
        <v>19</v>
      </c>
      <c r="E25" s="8" t="s">
        <v>24</v>
      </c>
      <c r="F25" s="8"/>
      <c r="G25" s="8" t="s">
        <v>89</v>
      </c>
      <c r="H25" s="8"/>
      <c r="I25" s="8"/>
    </row>
    <row r="26" spans="1:11">
      <c r="A26" s="7" t="s">
        <v>163</v>
      </c>
      <c r="B26" s="8"/>
      <c r="C26" s="8" t="s">
        <v>219</v>
      </c>
      <c r="D26" s="8"/>
      <c r="E26" s="8"/>
      <c r="F26" s="8"/>
      <c r="G26" s="8"/>
      <c r="H26" s="8"/>
      <c r="I26" s="8"/>
    </row>
    <row r="27" spans="1:11">
      <c r="B27" s="8" t="s">
        <v>236</v>
      </c>
      <c r="C27" s="8" t="s">
        <v>239</v>
      </c>
      <c r="D27" s="8"/>
      <c r="E27" s="8"/>
      <c r="F27" s="8"/>
      <c r="G27" s="8"/>
      <c r="H27" s="8" t="s">
        <v>90</v>
      </c>
      <c r="I27" s="8"/>
    </row>
    <row r="28" spans="1:11">
      <c r="B28" s="8"/>
      <c r="C28" s="8" t="s">
        <v>240</v>
      </c>
      <c r="D28" s="8"/>
      <c r="E28" s="8" t="s">
        <v>220</v>
      </c>
      <c r="F28" s="8">
        <f>D30/C30</f>
        <v>2.2140221402214021E-2</v>
      </c>
      <c r="G28" s="8"/>
      <c r="H28" s="8"/>
      <c r="I28" s="8"/>
    </row>
    <row r="29" spans="1:11">
      <c r="B29" s="8"/>
      <c r="C29" s="8" t="s">
        <v>20</v>
      </c>
      <c r="D29" s="8" t="s">
        <v>21</v>
      </c>
      <c r="E29" s="8" t="s">
        <v>22</v>
      </c>
      <c r="F29" s="8" t="s">
        <v>23</v>
      </c>
      <c r="G29" s="8"/>
      <c r="H29" s="8"/>
      <c r="I29" s="8"/>
      <c r="J29" s="8" t="s">
        <v>99</v>
      </c>
      <c r="K29" s="8"/>
    </row>
    <row r="30" spans="1:11">
      <c r="B30" s="8" t="s">
        <v>31</v>
      </c>
      <c r="C30" s="8">
        <v>271</v>
      </c>
      <c r="D30" s="8">
        <v>6</v>
      </c>
      <c r="E30" s="8">
        <v>7</v>
      </c>
      <c r="F30" s="8">
        <v>234</v>
      </c>
      <c r="G30" s="8"/>
      <c r="H30" s="8"/>
      <c r="I30" s="8"/>
      <c r="J30" s="8" t="s">
        <v>13</v>
      </c>
      <c r="K30" s="8">
        <v>84</v>
      </c>
    </row>
    <row r="31" spans="1:11">
      <c r="B31" s="8" t="s">
        <v>65</v>
      </c>
      <c r="C31" s="8" t="s">
        <v>164</v>
      </c>
      <c r="D31" s="8" t="s">
        <v>165</v>
      </c>
      <c r="E31" s="8" t="s">
        <v>166</v>
      </c>
      <c r="F31" s="8" t="s">
        <v>167</v>
      </c>
      <c r="G31" s="8"/>
      <c r="H31" s="8"/>
      <c r="I31" s="8"/>
      <c r="J31" s="8" t="s">
        <v>14</v>
      </c>
      <c r="K31" s="8">
        <v>83</v>
      </c>
    </row>
    <row r="33" spans="1:11">
      <c r="A33" s="7" t="s">
        <v>88</v>
      </c>
      <c r="B33" s="8"/>
      <c r="C33" s="8" t="s">
        <v>6</v>
      </c>
      <c r="D33" s="8" t="s">
        <v>19</v>
      </c>
      <c r="E33" s="8" t="s">
        <v>24</v>
      </c>
      <c r="F33" s="8"/>
      <c r="G33" s="8" t="s">
        <v>89</v>
      </c>
      <c r="H33" s="8"/>
      <c r="I33" s="8"/>
    </row>
    <row r="34" spans="1:11">
      <c r="A34" s="7" t="s">
        <v>180</v>
      </c>
      <c r="B34" s="8"/>
      <c r="C34" s="8" t="s">
        <v>203</v>
      </c>
      <c r="D34" s="8"/>
      <c r="E34" s="8"/>
      <c r="F34" s="8"/>
      <c r="G34" s="8"/>
      <c r="H34" s="8"/>
      <c r="I34" s="8"/>
    </row>
    <row r="35" spans="1:11">
      <c r="B35" s="8" t="s">
        <v>242</v>
      </c>
      <c r="C35" s="8" t="s">
        <v>243</v>
      </c>
      <c r="D35" s="8"/>
      <c r="E35" s="8"/>
      <c r="F35" s="8"/>
      <c r="G35" s="8"/>
      <c r="H35" s="8" t="s">
        <v>90</v>
      </c>
      <c r="I35" s="8"/>
    </row>
    <row r="36" spans="1:11">
      <c r="B36" s="8"/>
      <c r="C36" s="8">
        <f>60*59+30</f>
        <v>3570</v>
      </c>
      <c r="D36" s="8"/>
      <c r="E36" s="8"/>
      <c r="F36" s="8" t="s">
        <v>220</v>
      </c>
      <c r="G36" s="8">
        <f>D38/C38</f>
        <v>0.27272727272727271</v>
      </c>
      <c r="H36" s="8"/>
      <c r="I36" s="8"/>
    </row>
    <row r="37" spans="1:11">
      <c r="B37" s="8"/>
      <c r="C37" s="8" t="s">
        <v>20</v>
      </c>
      <c r="D37" s="8" t="s">
        <v>21</v>
      </c>
      <c r="E37" s="8" t="s">
        <v>22</v>
      </c>
      <c r="F37" s="8" t="s">
        <v>23</v>
      </c>
      <c r="G37" s="8"/>
      <c r="H37" s="8"/>
      <c r="I37" s="8"/>
      <c r="J37" s="8" t="s">
        <v>99</v>
      </c>
      <c r="K37" s="8"/>
    </row>
    <row r="38" spans="1:11">
      <c r="B38" s="8" t="s">
        <v>31</v>
      </c>
      <c r="C38" s="8">
        <f>28-6</f>
        <v>22</v>
      </c>
      <c r="D38" s="8">
        <v>6</v>
      </c>
      <c r="E38" s="8">
        <v>5</v>
      </c>
      <c r="F38" s="8">
        <f>30-6</f>
        <v>24</v>
      </c>
      <c r="G38" s="8"/>
      <c r="H38" s="8"/>
      <c r="I38" s="8"/>
      <c r="J38" s="8" t="s">
        <v>13</v>
      </c>
      <c r="K38" s="8">
        <v>50</v>
      </c>
    </row>
    <row r="39" spans="1:11">
      <c r="B39" s="8" t="s">
        <v>65</v>
      </c>
      <c r="C39" s="8" t="s">
        <v>196</v>
      </c>
      <c r="D39" s="8" t="s">
        <v>197</v>
      </c>
      <c r="E39" s="8" t="s">
        <v>198</v>
      </c>
      <c r="F39" s="8" t="s">
        <v>199</v>
      </c>
      <c r="G39" s="8"/>
      <c r="H39" s="8"/>
      <c r="I39" s="8"/>
      <c r="J39" s="8" t="s">
        <v>14</v>
      </c>
      <c r="K39" s="8">
        <v>48</v>
      </c>
    </row>
    <row r="41" spans="1:11">
      <c r="A41" s="7" t="s">
        <v>88</v>
      </c>
      <c r="B41" s="8"/>
      <c r="C41" s="8" t="s">
        <v>6</v>
      </c>
      <c r="D41" s="8" t="s">
        <v>19</v>
      </c>
      <c r="E41" s="8" t="s">
        <v>24</v>
      </c>
      <c r="F41" s="8"/>
      <c r="G41" s="8" t="s">
        <v>89</v>
      </c>
      <c r="H41" s="8"/>
      <c r="I41" s="8"/>
    </row>
    <row r="42" spans="1:11">
      <c r="A42" s="7" t="s">
        <v>245</v>
      </c>
      <c r="B42" s="8"/>
      <c r="C42" s="8" t="s">
        <v>203</v>
      </c>
      <c r="D42" s="8"/>
      <c r="E42" s="8"/>
      <c r="F42" s="8"/>
      <c r="G42" s="8"/>
      <c r="H42" s="8"/>
      <c r="I42" s="8"/>
    </row>
    <row r="43" spans="1:11">
      <c r="B43" s="8" t="s">
        <v>242</v>
      </c>
      <c r="C43" s="8" t="s">
        <v>255</v>
      </c>
      <c r="D43" s="8"/>
      <c r="E43" s="8"/>
      <c r="F43" s="8"/>
      <c r="G43" s="8"/>
      <c r="H43" s="8" t="s">
        <v>90</v>
      </c>
      <c r="I43" s="8"/>
    </row>
    <row r="44" spans="1:11">
      <c r="B44" s="8"/>
      <c r="C44" s="8">
        <f>29*60+9</f>
        <v>1749</v>
      </c>
      <c r="D44" s="8"/>
      <c r="E44" s="8" t="s">
        <v>220</v>
      </c>
      <c r="F44" s="8">
        <f>D46/C46</f>
        <v>3.3333333333333333E-2</v>
      </c>
      <c r="G44" s="8"/>
      <c r="H44" s="8"/>
      <c r="I44" s="8"/>
    </row>
    <row r="45" spans="1:11">
      <c r="B45" s="8"/>
      <c r="C45" s="8" t="s">
        <v>20</v>
      </c>
      <c r="D45" s="8" t="s">
        <v>21</v>
      </c>
      <c r="E45" s="8" t="s">
        <v>22</v>
      </c>
      <c r="F45" s="8" t="s">
        <v>23</v>
      </c>
      <c r="G45" s="8"/>
      <c r="H45" s="8"/>
      <c r="I45" s="8"/>
      <c r="J45" s="8" t="s">
        <v>99</v>
      </c>
      <c r="K45" s="8"/>
    </row>
    <row r="46" spans="1:11">
      <c r="B46" s="8" t="s">
        <v>31</v>
      </c>
      <c r="C46" s="8">
        <v>30</v>
      </c>
      <c r="D46" s="8">
        <v>1</v>
      </c>
      <c r="E46" s="8">
        <v>2</v>
      </c>
      <c r="F46" s="8">
        <v>29</v>
      </c>
      <c r="G46" s="8"/>
      <c r="H46" s="8"/>
      <c r="I46" s="8"/>
      <c r="J46" s="8" t="s">
        <v>13</v>
      </c>
      <c r="K46" s="8">
        <v>45</v>
      </c>
    </row>
    <row r="47" spans="1:11">
      <c r="B47" s="8" t="s">
        <v>65</v>
      </c>
      <c r="C47" s="8" t="s">
        <v>252</v>
      </c>
      <c r="D47" s="8" t="s">
        <v>246</v>
      </c>
      <c r="E47" s="8" t="s">
        <v>247</v>
      </c>
      <c r="F47" s="8" t="s">
        <v>251</v>
      </c>
      <c r="G47" s="8"/>
      <c r="H47" s="8"/>
      <c r="I47" s="8"/>
      <c r="J47" s="8" t="s">
        <v>14</v>
      </c>
      <c r="K47" s="8">
        <v>42</v>
      </c>
    </row>
    <row r="49" spans="1:8" ht="34.5" customHeight="1">
      <c r="A49" s="34" t="s">
        <v>262</v>
      </c>
    </row>
    <row r="50" spans="1:8">
      <c r="B50" s="16"/>
      <c r="C50" s="31" t="s">
        <v>258</v>
      </c>
      <c r="D50" s="31" t="s">
        <v>259</v>
      </c>
      <c r="H50">
        <f>(F44+G36+F20+F12+F4)/6</f>
        <v>0.16534822619728279</v>
      </c>
    </row>
    <row r="51" spans="1:8">
      <c r="A51" s="7" t="s">
        <v>263</v>
      </c>
      <c r="B51" s="31" t="s">
        <v>0</v>
      </c>
      <c r="C51" s="31" t="s">
        <v>260</v>
      </c>
      <c r="D51" s="31" t="s">
        <v>260</v>
      </c>
    </row>
    <row r="52" spans="1:8">
      <c r="B52" s="31" t="s">
        <v>12</v>
      </c>
      <c r="C52" s="31" t="s">
        <v>261</v>
      </c>
      <c r="D52" s="31" t="s">
        <v>260</v>
      </c>
    </row>
    <row r="53" spans="1:8">
      <c r="B53" s="31" t="s">
        <v>149</v>
      </c>
      <c r="C53" s="31" t="s">
        <v>261</v>
      </c>
      <c r="D53" s="31" t="s">
        <v>261</v>
      </c>
    </row>
    <row r="54" spans="1:8">
      <c r="B54" s="31" t="s">
        <v>163</v>
      </c>
      <c r="C54" s="31" t="s">
        <v>261</v>
      </c>
      <c r="D54" s="31" t="s">
        <v>261</v>
      </c>
    </row>
    <row r="55" spans="1:8">
      <c r="B55" s="31" t="s">
        <v>180</v>
      </c>
      <c r="C55" s="31" t="s">
        <v>261</v>
      </c>
      <c r="D55" s="31" t="s">
        <v>261</v>
      </c>
    </row>
    <row r="56" spans="1:8">
      <c r="B56" s="31" t="s">
        <v>245</v>
      </c>
      <c r="C56" s="31" t="s">
        <v>261</v>
      </c>
      <c r="D56" s="31" t="s">
        <v>261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45"/>
  <sheetViews>
    <sheetView topLeftCell="A41" workbookViewId="0">
      <selection activeCell="A59" sqref="A59"/>
    </sheetView>
  </sheetViews>
  <sheetFormatPr defaultRowHeight="15"/>
  <cols>
    <col min="1" max="1" width="35.28515625" customWidth="1"/>
    <col min="2" max="2" width="13.28515625" customWidth="1"/>
    <col min="3" max="3" width="19.85546875" customWidth="1"/>
    <col min="4" max="4" width="11.85546875" customWidth="1"/>
    <col min="5" max="5" width="44" customWidth="1"/>
    <col min="6" max="6" width="36.5703125" customWidth="1"/>
    <col min="7" max="7" width="14" customWidth="1"/>
    <col min="8" max="8" width="10.42578125" customWidth="1"/>
    <col min="9" max="9" width="26.42578125" customWidth="1"/>
    <col min="10" max="10" width="10" customWidth="1"/>
  </cols>
  <sheetData>
    <row r="1" spans="1:9">
      <c r="A1" s="22" t="s">
        <v>0</v>
      </c>
    </row>
    <row r="2" spans="1:9">
      <c r="A2" s="24" t="s">
        <v>221</v>
      </c>
      <c r="B2" s="25">
        <v>50</v>
      </c>
    </row>
    <row r="3" spans="1:9">
      <c r="A3" s="24" t="s">
        <v>215</v>
      </c>
      <c r="B3" s="32">
        <v>5520</v>
      </c>
      <c r="C3" s="16"/>
      <c r="D3" s="16"/>
      <c r="E3" s="16"/>
      <c r="F3" s="16"/>
      <c r="G3" s="16"/>
      <c r="H3" s="16"/>
    </row>
    <row r="4" spans="1:9">
      <c r="A4" s="15"/>
      <c r="B4" s="23" t="s">
        <v>227</v>
      </c>
      <c r="C4" s="23" t="s">
        <v>228</v>
      </c>
      <c r="D4" s="15"/>
      <c r="E4" s="16"/>
      <c r="F4" s="22" t="s">
        <v>278</v>
      </c>
    </row>
    <row r="5" spans="1:9">
      <c r="A5" s="24" t="s">
        <v>225</v>
      </c>
      <c r="B5" s="25">
        <v>24.18</v>
      </c>
      <c r="C5" s="25">
        <v>1.29</v>
      </c>
      <c r="D5" s="28"/>
      <c r="E5" s="16"/>
      <c r="F5" s="24" t="s">
        <v>221</v>
      </c>
      <c r="G5" s="25">
        <v>50</v>
      </c>
    </row>
    <row r="6" spans="1:9">
      <c r="A6" s="24" t="s">
        <v>229</v>
      </c>
      <c r="B6" s="25">
        <v>0.36</v>
      </c>
      <c r="C6" s="25">
        <v>0.26</v>
      </c>
      <c r="D6" s="16"/>
      <c r="E6" s="16"/>
      <c r="F6" s="24" t="s">
        <v>215</v>
      </c>
      <c r="G6" s="32">
        <f>(B3+B29+B56+B83+B111+B136)/6</f>
        <v>3550.8333333333335</v>
      </c>
      <c r="H6" s="16"/>
      <c r="I6" s="41" t="s">
        <v>279</v>
      </c>
    </row>
    <row r="7" spans="1:9">
      <c r="A7" s="24" t="s">
        <v>226</v>
      </c>
      <c r="B7" s="25">
        <v>57.24</v>
      </c>
      <c r="C7" s="25">
        <v>2.73</v>
      </c>
      <c r="D7" s="15"/>
      <c r="E7" s="16"/>
      <c r="F7" s="15"/>
      <c r="G7" s="23" t="s">
        <v>227</v>
      </c>
      <c r="H7" s="23" t="s">
        <v>228</v>
      </c>
      <c r="I7" s="35" t="s">
        <v>280</v>
      </c>
    </row>
    <row r="8" spans="1:9">
      <c r="A8" s="16"/>
      <c r="B8" s="16"/>
      <c r="C8" s="16"/>
      <c r="D8" s="15"/>
      <c r="E8" s="16"/>
      <c r="F8" s="24" t="s">
        <v>225</v>
      </c>
      <c r="G8" s="25">
        <f>(B5+B31+B58+B85+B113+B138)/6</f>
        <v>15.030000000000001</v>
      </c>
      <c r="H8" s="25">
        <f>(C5+C31+C58+C85+C113+C138)/6</f>
        <v>0.98499999999999999</v>
      </c>
      <c r="I8" s="35" t="s">
        <v>281</v>
      </c>
    </row>
    <row r="9" spans="1:9">
      <c r="A9" s="24" t="s">
        <v>214</v>
      </c>
      <c r="B9" s="25">
        <v>1</v>
      </c>
      <c r="C9" s="25">
        <v>0</v>
      </c>
      <c r="D9" s="15"/>
      <c r="E9" s="16"/>
      <c r="F9" s="24" t="s">
        <v>229</v>
      </c>
      <c r="G9" s="25">
        <f t="shared" ref="G9:H14" si="0">(B6+B32+B59+B86+B114+B139)/6</f>
        <v>1.0566666666666666</v>
      </c>
      <c r="H9" s="25">
        <f t="shared" ref="H9:H10" si="1">(C6+C32+C59+C86+C114+C139)/6</f>
        <v>0.45666666666666661</v>
      </c>
      <c r="I9" s="41" t="s">
        <v>289</v>
      </c>
    </row>
    <row r="10" spans="1:9">
      <c r="A10" s="24" t="s">
        <v>217</v>
      </c>
      <c r="B10" s="25">
        <v>2660.97</v>
      </c>
      <c r="C10" s="25">
        <v>91.13</v>
      </c>
      <c r="D10" s="15"/>
      <c r="E10" s="16"/>
      <c r="F10" s="24" t="s">
        <v>226</v>
      </c>
      <c r="G10" s="25">
        <f t="shared" si="0"/>
        <v>138.36666666666665</v>
      </c>
      <c r="H10" s="25">
        <f t="shared" si="1"/>
        <v>2.65</v>
      </c>
      <c r="I10" s="35" t="s">
        <v>290</v>
      </c>
    </row>
    <row r="11" spans="1:9">
      <c r="A11" s="24" t="s">
        <v>216</v>
      </c>
      <c r="B11" s="25">
        <v>951.78</v>
      </c>
      <c r="C11" s="25">
        <v>54.71</v>
      </c>
      <c r="D11" s="15"/>
      <c r="E11" s="16"/>
      <c r="F11" s="16"/>
      <c r="G11" s="16"/>
      <c r="H11" s="16"/>
    </row>
    <row r="12" spans="1:9">
      <c r="A12" s="24" t="s">
        <v>224</v>
      </c>
      <c r="B12" s="25" t="s">
        <v>231</v>
      </c>
      <c r="C12" s="25" t="s">
        <v>230</v>
      </c>
      <c r="D12" s="15"/>
      <c r="E12" s="16"/>
      <c r="F12" s="24" t="s">
        <v>214</v>
      </c>
      <c r="G12" s="25">
        <f t="shared" si="0"/>
        <v>1</v>
      </c>
      <c r="H12" s="25">
        <f t="shared" si="0"/>
        <v>0</v>
      </c>
      <c r="I12" s="41" t="s">
        <v>282</v>
      </c>
    </row>
    <row r="13" spans="1:9">
      <c r="D13" s="15"/>
      <c r="E13" s="16"/>
      <c r="F13" s="24" t="s">
        <v>217</v>
      </c>
      <c r="G13" s="25">
        <f t="shared" si="0"/>
        <v>1627.9566666666667</v>
      </c>
      <c r="H13" s="25">
        <f t="shared" si="0"/>
        <v>60.16</v>
      </c>
      <c r="I13" s="43">
        <v>0.16535</v>
      </c>
    </row>
    <row r="14" spans="1:9">
      <c r="D14" s="15"/>
      <c r="E14" s="16"/>
      <c r="F14" s="24" t="s">
        <v>216</v>
      </c>
      <c r="G14" s="25">
        <f t="shared" si="0"/>
        <v>405.12920000000003</v>
      </c>
      <c r="H14" s="25">
        <f t="shared" si="0"/>
        <v>27.430000000000003</v>
      </c>
    </row>
    <row r="15" spans="1:9">
      <c r="D15" s="16"/>
      <c r="E15" s="16"/>
      <c r="F15" s="24" t="s">
        <v>224</v>
      </c>
      <c r="G15" s="25" t="s">
        <v>231</v>
      </c>
      <c r="H15" s="25"/>
    </row>
    <row r="16" spans="1:9">
      <c r="A16" s="15"/>
      <c r="B16" s="16"/>
      <c r="C16" s="16"/>
      <c r="D16" s="16"/>
      <c r="E16" s="16"/>
      <c r="F16" s="16"/>
      <c r="G16" s="16"/>
      <c r="H16" s="16"/>
    </row>
    <row r="17" spans="1:9">
      <c r="A17" s="15"/>
      <c r="B17" s="16"/>
      <c r="C17" s="16"/>
      <c r="D17" s="16"/>
      <c r="E17" s="16"/>
      <c r="F17" s="16"/>
      <c r="G17" s="16"/>
      <c r="H17" s="16"/>
    </row>
    <row r="18" spans="1:9">
      <c r="B18" s="16"/>
      <c r="C18" s="16"/>
      <c r="D18" s="16"/>
      <c r="E18" s="16"/>
      <c r="F18" s="16"/>
      <c r="G18" s="16"/>
      <c r="H18" s="16"/>
    </row>
    <row r="19" spans="1:9">
      <c r="A19" s="15"/>
      <c r="B19" s="16"/>
      <c r="C19" s="16"/>
      <c r="D19" s="16"/>
      <c r="E19" s="16"/>
      <c r="F19" s="22" t="s">
        <v>292</v>
      </c>
    </row>
    <row r="20" spans="1:9">
      <c r="A20" s="15"/>
      <c r="B20" s="16"/>
      <c r="C20" s="16"/>
      <c r="D20" s="16"/>
      <c r="E20" s="16"/>
      <c r="F20" s="24" t="s">
        <v>221</v>
      </c>
      <c r="G20" s="25">
        <v>50</v>
      </c>
    </row>
    <row r="21" spans="1:9">
      <c r="E21" s="16"/>
      <c r="F21" s="24" t="s">
        <v>215</v>
      </c>
      <c r="G21" s="32">
        <f>(B3+B29)/2</f>
        <v>4833.5</v>
      </c>
      <c r="H21" s="16"/>
      <c r="I21" s="41" t="s">
        <v>279</v>
      </c>
    </row>
    <row r="22" spans="1:9">
      <c r="E22" s="16"/>
      <c r="F22" s="15"/>
      <c r="G22" s="23" t="s">
        <v>227</v>
      </c>
      <c r="H22" s="23" t="s">
        <v>228</v>
      </c>
      <c r="I22" s="35" t="s">
        <v>283</v>
      </c>
    </row>
    <row r="23" spans="1:9">
      <c r="E23" s="16"/>
      <c r="F23" s="24" t="s">
        <v>225</v>
      </c>
      <c r="G23" s="25">
        <f>(B5+B31)/2</f>
        <v>26.72</v>
      </c>
      <c r="H23" s="25">
        <f>(C5+C31)/2</f>
        <v>1.375</v>
      </c>
      <c r="I23" s="35" t="s">
        <v>284</v>
      </c>
    </row>
    <row r="24" spans="1:9">
      <c r="F24" s="24" t="s">
        <v>229</v>
      </c>
      <c r="G24" s="25">
        <f>(B6+B32)/2</f>
        <v>1.46</v>
      </c>
      <c r="H24" s="25">
        <f t="shared" ref="H24" si="2">(C6+C32)/2</f>
        <v>0.625</v>
      </c>
      <c r="I24" s="41" t="s">
        <v>289</v>
      </c>
    </row>
    <row r="25" spans="1:9">
      <c r="F25" s="24" t="s">
        <v>226</v>
      </c>
      <c r="G25" s="25">
        <f>(B7+B33)/2</f>
        <v>64.39</v>
      </c>
      <c r="H25" s="25">
        <f>(C7+C33)/2</f>
        <v>2.11</v>
      </c>
      <c r="I25" s="35" t="s">
        <v>291</v>
      </c>
    </row>
    <row r="26" spans="1:9">
      <c r="F26" s="16"/>
      <c r="G26" s="16"/>
      <c r="H26" s="16"/>
    </row>
    <row r="27" spans="1:9">
      <c r="A27" s="22" t="s">
        <v>12</v>
      </c>
      <c r="D27" s="16"/>
      <c r="F27" s="24" t="s">
        <v>214</v>
      </c>
      <c r="G27" s="25">
        <f t="shared" ref="G27:H29" si="3">(B9+B35)/2</f>
        <v>1</v>
      </c>
      <c r="H27" s="25">
        <f t="shared" si="3"/>
        <v>0</v>
      </c>
      <c r="I27" s="41" t="s">
        <v>282</v>
      </c>
    </row>
    <row r="28" spans="1:9">
      <c r="A28" s="24" t="s">
        <v>221</v>
      </c>
      <c r="B28" s="25">
        <v>50</v>
      </c>
      <c r="D28" s="16"/>
      <c r="F28" s="24" t="s">
        <v>217</v>
      </c>
      <c r="G28" s="25">
        <f t="shared" si="3"/>
        <v>2334.94</v>
      </c>
      <c r="H28" s="25">
        <f t="shared" si="3"/>
        <v>78.349999999999994</v>
      </c>
      <c r="I28" s="43">
        <v>0.31385000000000002</v>
      </c>
    </row>
    <row r="29" spans="1:9">
      <c r="A29" s="24" t="s">
        <v>215</v>
      </c>
      <c r="B29" s="32">
        <v>4147</v>
      </c>
      <c r="C29" s="16"/>
      <c r="D29" s="16"/>
      <c r="F29" s="24" t="s">
        <v>216</v>
      </c>
      <c r="G29" s="25">
        <f t="shared" si="3"/>
        <v>774.88</v>
      </c>
      <c r="H29" s="25">
        <f t="shared" si="3"/>
        <v>42.6</v>
      </c>
    </row>
    <row r="30" spans="1:9">
      <c r="A30" s="15"/>
      <c r="B30" s="23" t="s">
        <v>227</v>
      </c>
      <c r="C30" s="23" t="s">
        <v>228</v>
      </c>
      <c r="D30" s="15"/>
      <c r="F30" s="24" t="s">
        <v>224</v>
      </c>
      <c r="G30" s="25" t="s">
        <v>231</v>
      </c>
      <c r="H30" s="25"/>
    </row>
    <row r="31" spans="1:9">
      <c r="A31" s="24" t="s">
        <v>225</v>
      </c>
      <c r="B31" s="25">
        <v>29.26</v>
      </c>
      <c r="C31" s="25">
        <v>1.46</v>
      </c>
      <c r="D31" s="28"/>
    </row>
    <row r="32" spans="1:9">
      <c r="A32" s="24" t="s">
        <v>229</v>
      </c>
      <c r="B32" s="25">
        <v>2.56</v>
      </c>
      <c r="C32" s="25">
        <v>0.99</v>
      </c>
      <c r="D32" s="16"/>
    </row>
    <row r="33" spans="1:9">
      <c r="A33" s="24" t="s">
        <v>226</v>
      </c>
      <c r="B33" s="25">
        <v>71.540000000000006</v>
      </c>
      <c r="C33" s="25">
        <v>1.49</v>
      </c>
      <c r="D33" s="15"/>
      <c r="F33" s="22" t="s">
        <v>293</v>
      </c>
    </row>
    <row r="34" spans="1:9">
      <c r="A34" s="16"/>
      <c r="B34" s="16"/>
      <c r="C34" s="16"/>
      <c r="D34" s="15"/>
      <c r="F34" s="24" t="s">
        <v>221</v>
      </c>
      <c r="G34" s="25">
        <v>50</v>
      </c>
    </row>
    <row r="35" spans="1:9">
      <c r="A35" s="24" t="s">
        <v>214</v>
      </c>
      <c r="B35" s="25">
        <v>1</v>
      </c>
      <c r="C35" s="25">
        <v>0</v>
      </c>
      <c r="D35" s="26"/>
      <c r="F35" s="24" t="s">
        <v>215</v>
      </c>
      <c r="G35" s="32">
        <f>B56+B83+B111+B136</f>
        <v>11638</v>
      </c>
      <c r="H35" s="16"/>
      <c r="I35" s="41" t="s">
        <v>279</v>
      </c>
    </row>
    <row r="36" spans="1:9">
      <c r="A36" s="24" t="s">
        <v>217</v>
      </c>
      <c r="B36" s="25">
        <v>2008.91</v>
      </c>
      <c r="C36" s="25">
        <v>65.569999999999993</v>
      </c>
      <c r="D36" s="15"/>
      <c r="F36" s="15"/>
      <c r="G36" s="23" t="s">
        <v>227</v>
      </c>
      <c r="H36" s="23" t="s">
        <v>228</v>
      </c>
      <c r="I36" s="35" t="s">
        <v>285</v>
      </c>
    </row>
    <row r="37" spans="1:9">
      <c r="A37" s="24" t="s">
        <v>216</v>
      </c>
      <c r="B37" s="25">
        <v>597.98</v>
      </c>
      <c r="C37" s="25">
        <v>30.49</v>
      </c>
      <c r="D37" s="27"/>
      <c r="F37" s="24" t="s">
        <v>225</v>
      </c>
      <c r="G37" s="25">
        <f>(B58+B85+B113+B138)/4</f>
        <v>9.1849999999999987</v>
      </c>
      <c r="H37" s="25">
        <f>(C58+C85+C113+C138)/4</f>
        <v>0.78999999999999992</v>
      </c>
      <c r="I37" s="35" t="s">
        <v>286</v>
      </c>
    </row>
    <row r="38" spans="1:9">
      <c r="A38" s="24" t="s">
        <v>224</v>
      </c>
      <c r="B38" s="25" t="s">
        <v>231</v>
      </c>
      <c r="C38" s="25" t="s">
        <v>234</v>
      </c>
      <c r="D38" s="16"/>
      <c r="F38" s="24" t="s">
        <v>229</v>
      </c>
      <c r="G38" s="25">
        <f t="shared" ref="G38:H43" si="4">(B59+B86+B114+B139)/4</f>
        <v>0.85499999999999998</v>
      </c>
      <c r="H38" s="25">
        <f t="shared" si="4"/>
        <v>0.3725</v>
      </c>
      <c r="I38" s="41" t="s">
        <v>289</v>
      </c>
    </row>
    <row r="39" spans="1:9">
      <c r="A39" s="16"/>
      <c r="B39" s="16"/>
      <c r="C39" s="16"/>
      <c r="D39" s="16"/>
      <c r="F39" s="24" t="s">
        <v>226</v>
      </c>
      <c r="G39" s="25">
        <f t="shared" si="4"/>
        <v>175.35499999999999</v>
      </c>
      <c r="H39" s="25">
        <f t="shared" si="4"/>
        <v>2.9199999999999995</v>
      </c>
      <c r="I39" s="35" t="s">
        <v>294</v>
      </c>
    </row>
    <row r="40" spans="1:9">
      <c r="A40" s="16"/>
      <c r="B40" s="16"/>
      <c r="C40" s="16"/>
      <c r="D40" s="16"/>
      <c r="F40" s="16"/>
      <c r="G40" s="16"/>
      <c r="H40" s="16"/>
    </row>
    <row r="41" spans="1:9">
      <c r="A41" s="16"/>
      <c r="B41" s="16"/>
      <c r="C41" s="16"/>
      <c r="D41" s="16"/>
      <c r="F41" s="24" t="s">
        <v>214</v>
      </c>
      <c r="G41" s="25">
        <f t="shared" si="4"/>
        <v>1</v>
      </c>
      <c r="H41" s="25">
        <f t="shared" si="4"/>
        <v>0</v>
      </c>
      <c r="I41" s="41" t="s">
        <v>282</v>
      </c>
    </row>
    <row r="42" spans="1:9">
      <c r="F42" s="24" t="s">
        <v>217</v>
      </c>
      <c r="G42" s="25">
        <f t="shared" si="4"/>
        <v>1274.4650000000001</v>
      </c>
      <c r="H42" s="25">
        <f t="shared" si="4"/>
        <v>51.064999999999998</v>
      </c>
      <c r="I42" s="43">
        <v>9.6629999999999994E-2</v>
      </c>
    </row>
    <row r="43" spans="1:9">
      <c r="A43" s="16"/>
      <c r="B43" s="16"/>
      <c r="C43" s="16"/>
      <c r="D43" s="16"/>
      <c r="F43" s="24" t="s">
        <v>216</v>
      </c>
      <c r="G43" s="25">
        <f t="shared" si="4"/>
        <v>220.25380000000001</v>
      </c>
      <c r="H43" s="25">
        <f t="shared" si="4"/>
        <v>19.844999999999999</v>
      </c>
    </row>
    <row r="44" spans="1:9">
      <c r="A44" s="16"/>
      <c r="B44" s="16"/>
      <c r="C44" s="16"/>
      <c r="D44" s="16"/>
      <c r="F44" s="24" t="s">
        <v>224</v>
      </c>
      <c r="G44" s="25" t="s">
        <v>231</v>
      </c>
      <c r="H44" s="25"/>
    </row>
    <row r="45" spans="1:9">
      <c r="A45" s="15"/>
      <c r="B45" s="16"/>
      <c r="C45" s="16"/>
      <c r="D45" s="16"/>
    </row>
    <row r="46" spans="1:9">
      <c r="A46" s="15"/>
      <c r="B46" s="16"/>
      <c r="C46" s="16"/>
      <c r="D46" s="16"/>
    </row>
    <row r="47" spans="1:9">
      <c r="A47" s="15"/>
      <c r="B47" s="15"/>
      <c r="C47" s="16"/>
      <c r="D47" s="16"/>
      <c r="F47" s="42" t="s">
        <v>287</v>
      </c>
      <c r="G47" s="40" t="s">
        <v>288</v>
      </c>
    </row>
    <row r="48" spans="1:9">
      <c r="A48" s="15"/>
      <c r="B48" s="16"/>
      <c r="C48" s="16"/>
      <c r="D48" s="15"/>
      <c r="F48" s="30" t="s">
        <v>0</v>
      </c>
      <c r="G48" s="30">
        <v>32.773000000000003</v>
      </c>
    </row>
    <row r="49" spans="1:7">
      <c r="A49" s="15"/>
      <c r="B49" s="16"/>
      <c r="C49" s="16"/>
      <c r="D49" s="28"/>
      <c r="F49" s="30" t="s">
        <v>12</v>
      </c>
      <c r="G49" s="30">
        <v>39.014000000000003</v>
      </c>
    </row>
    <row r="50" spans="1:7">
      <c r="A50" s="16"/>
      <c r="B50" s="33"/>
      <c r="C50" s="16"/>
      <c r="D50" s="16"/>
      <c r="F50" s="30" t="s">
        <v>149</v>
      </c>
      <c r="G50" s="30">
        <v>88.429000000000002</v>
      </c>
    </row>
    <row r="51" spans="1:7">
      <c r="A51" s="16"/>
      <c r="B51" s="16"/>
      <c r="C51" s="16"/>
      <c r="D51" s="15"/>
      <c r="E51" s="16"/>
      <c r="F51" s="30" t="s">
        <v>163</v>
      </c>
      <c r="G51" s="30">
        <v>80.757999999999996</v>
      </c>
    </row>
    <row r="52" spans="1:7">
      <c r="A52" s="15"/>
      <c r="B52" s="16"/>
      <c r="C52" s="16"/>
      <c r="D52" s="15"/>
      <c r="E52" s="16"/>
      <c r="F52" s="30" t="s">
        <v>180</v>
      </c>
      <c r="G52" s="30">
        <v>46.506999999999998</v>
      </c>
    </row>
    <row r="53" spans="1:7">
      <c r="A53" s="15"/>
      <c r="B53" s="16"/>
      <c r="C53" s="16"/>
      <c r="D53" s="15"/>
      <c r="E53" s="16"/>
      <c r="F53" s="30" t="s">
        <v>245</v>
      </c>
      <c r="G53" s="30">
        <v>39.878</v>
      </c>
    </row>
    <row r="54" spans="1:7">
      <c r="A54" s="22" t="s">
        <v>149</v>
      </c>
      <c r="D54" s="15"/>
      <c r="E54" s="16"/>
      <c r="F54" s="16"/>
    </row>
    <row r="55" spans="1:7">
      <c r="A55" s="24" t="s">
        <v>221</v>
      </c>
      <c r="B55" s="25">
        <v>50</v>
      </c>
      <c r="D55" s="15"/>
      <c r="E55" s="16"/>
      <c r="F55" s="16"/>
    </row>
    <row r="56" spans="1:7">
      <c r="A56" s="24" t="s">
        <v>215</v>
      </c>
      <c r="B56" s="32">
        <v>4157</v>
      </c>
      <c r="C56" s="16"/>
      <c r="D56" s="16"/>
    </row>
    <row r="57" spans="1:7">
      <c r="A57" s="15"/>
      <c r="B57" s="23" t="s">
        <v>227</v>
      </c>
      <c r="C57" s="23" t="s">
        <v>228</v>
      </c>
      <c r="D57" s="16"/>
    </row>
    <row r="58" spans="1:7">
      <c r="A58" s="24" t="s">
        <v>225</v>
      </c>
      <c r="B58" s="25">
        <v>20.68</v>
      </c>
      <c r="C58" s="25">
        <v>1.21</v>
      </c>
    </row>
    <row r="59" spans="1:7">
      <c r="A59" s="24" t="s">
        <v>229</v>
      </c>
      <c r="B59" s="25">
        <v>0.62</v>
      </c>
      <c r="C59" s="25">
        <v>0.42</v>
      </c>
    </row>
    <row r="60" spans="1:7">
      <c r="A60" s="24" t="s">
        <v>226</v>
      </c>
      <c r="B60" s="25">
        <v>330.5</v>
      </c>
      <c r="C60" s="25">
        <v>4.3</v>
      </c>
    </row>
    <row r="61" spans="1:7">
      <c r="A61" s="16"/>
      <c r="B61" s="16"/>
      <c r="C61" s="16"/>
    </row>
    <row r="62" spans="1:7">
      <c r="A62" s="24" t="s">
        <v>214</v>
      </c>
      <c r="B62" s="25">
        <v>1</v>
      </c>
      <c r="C62" s="25">
        <v>0</v>
      </c>
    </row>
    <row r="63" spans="1:7">
      <c r="A63" s="24" t="s">
        <v>217</v>
      </c>
      <c r="B63" s="25">
        <v>2010</v>
      </c>
      <c r="C63" s="25">
        <v>0</v>
      </c>
    </row>
    <row r="64" spans="1:7">
      <c r="A64" s="24" t="s">
        <v>216</v>
      </c>
      <c r="B64" s="25">
        <v>134.46</v>
      </c>
      <c r="C64" s="25">
        <v>1.49</v>
      </c>
    </row>
    <row r="65" spans="1:3">
      <c r="A65" s="24" t="s">
        <v>224</v>
      </c>
      <c r="B65" s="25" t="s">
        <v>231</v>
      </c>
      <c r="C65" s="25" t="s">
        <v>238</v>
      </c>
    </row>
    <row r="81" spans="1:3">
      <c r="A81" s="22" t="s">
        <v>163</v>
      </c>
    </row>
    <row r="82" spans="1:3">
      <c r="A82" s="24" t="s">
        <v>221</v>
      </c>
      <c r="B82" s="25">
        <v>50</v>
      </c>
    </row>
    <row r="83" spans="1:3">
      <c r="A83" s="24" t="s">
        <v>215</v>
      </c>
      <c r="B83" s="32">
        <v>2162</v>
      </c>
      <c r="C83" s="16"/>
    </row>
    <row r="84" spans="1:3">
      <c r="A84" s="15"/>
      <c r="B84" s="23" t="s">
        <v>227</v>
      </c>
      <c r="C84" s="23" t="s">
        <v>228</v>
      </c>
    </row>
    <row r="85" spans="1:3">
      <c r="A85" s="24" t="s">
        <v>225</v>
      </c>
      <c r="B85" s="25">
        <v>7.22</v>
      </c>
      <c r="C85" s="25">
        <v>0.76</v>
      </c>
    </row>
    <row r="86" spans="1:3">
      <c r="A86" s="24" t="s">
        <v>229</v>
      </c>
      <c r="B86" s="25">
        <v>1.56</v>
      </c>
      <c r="C86" s="25">
        <v>0.56999999999999995</v>
      </c>
    </row>
    <row r="87" spans="1:3">
      <c r="A87" s="24" t="s">
        <v>226</v>
      </c>
      <c r="B87" s="25">
        <v>320.24</v>
      </c>
      <c r="C87" s="25">
        <v>4.67</v>
      </c>
    </row>
    <row r="88" spans="1:3">
      <c r="A88" s="16"/>
      <c r="B88" s="16"/>
      <c r="C88" s="16"/>
    </row>
    <row r="89" spans="1:3">
      <c r="A89" s="24" t="s">
        <v>214</v>
      </c>
      <c r="B89" s="25">
        <v>1</v>
      </c>
      <c r="C89" s="25">
        <v>0</v>
      </c>
    </row>
    <row r="90" spans="1:3">
      <c r="A90" s="24" t="s">
        <v>217</v>
      </c>
      <c r="B90" s="25">
        <v>919.86</v>
      </c>
      <c r="C90" s="25">
        <v>61.38</v>
      </c>
    </row>
    <row r="91" spans="1:3">
      <c r="A91" s="24" t="s">
        <v>216</v>
      </c>
      <c r="B91" s="25">
        <v>32.605200000000004</v>
      </c>
      <c r="C91" s="25">
        <v>2.69</v>
      </c>
    </row>
    <row r="92" spans="1:3">
      <c r="A92" s="24" t="s">
        <v>224</v>
      </c>
      <c r="B92" s="25" t="s">
        <v>231</v>
      </c>
      <c r="C92" s="25" t="s">
        <v>241</v>
      </c>
    </row>
    <row r="109" spans="1:3">
      <c r="A109" s="22" t="s">
        <v>180</v>
      </c>
    </row>
    <row r="110" spans="1:3">
      <c r="A110" s="24" t="s">
        <v>221</v>
      </c>
      <c r="B110" s="25">
        <v>50</v>
      </c>
    </row>
    <row r="111" spans="1:3">
      <c r="A111" s="24" t="s">
        <v>215</v>
      </c>
      <c r="B111" s="32">
        <v>3570</v>
      </c>
      <c r="C111" s="16"/>
    </row>
    <row r="112" spans="1:3">
      <c r="A112" s="15"/>
      <c r="B112" s="23" t="s">
        <v>227</v>
      </c>
      <c r="C112" s="23" t="s">
        <v>228</v>
      </c>
    </row>
    <row r="113" spans="1:3">
      <c r="A113" s="24" t="s">
        <v>225</v>
      </c>
      <c r="B113" s="25">
        <v>7.62</v>
      </c>
      <c r="C113" s="25">
        <v>0.83</v>
      </c>
    </row>
    <row r="114" spans="1:3">
      <c r="A114" s="24" t="s">
        <v>229</v>
      </c>
      <c r="B114" s="25">
        <v>1.24</v>
      </c>
      <c r="C114" s="25">
        <v>0.5</v>
      </c>
    </row>
    <row r="115" spans="1:3">
      <c r="A115" s="24" t="s">
        <v>226</v>
      </c>
      <c r="B115" s="25">
        <v>19.399999999999999</v>
      </c>
      <c r="C115" s="25">
        <v>1.27</v>
      </c>
    </row>
    <row r="116" spans="1:3">
      <c r="A116" s="16"/>
      <c r="B116" s="16"/>
      <c r="C116" s="16"/>
    </row>
    <row r="117" spans="1:3">
      <c r="A117" s="24" t="s">
        <v>214</v>
      </c>
      <c r="B117" s="25">
        <v>1</v>
      </c>
      <c r="C117" s="25">
        <v>0</v>
      </c>
    </row>
    <row r="118" spans="1:3">
      <c r="A118" s="24" t="s">
        <v>217</v>
      </c>
      <c r="B118" s="25">
        <v>1389</v>
      </c>
      <c r="C118" s="25">
        <v>142.88</v>
      </c>
    </row>
    <row r="119" spans="1:3">
      <c r="A119" s="24" t="s">
        <v>216</v>
      </c>
      <c r="B119" s="25">
        <v>549.69000000000005</v>
      </c>
      <c r="C119" s="25">
        <v>70.540000000000006</v>
      </c>
    </row>
    <row r="120" spans="1:3">
      <c r="A120" s="24" t="s">
        <v>224</v>
      </c>
      <c r="B120" s="25" t="s">
        <v>231</v>
      </c>
      <c r="C120" s="25" t="s">
        <v>244</v>
      </c>
    </row>
    <row r="134" spans="1:3">
      <c r="A134" s="22" t="s">
        <v>245</v>
      </c>
    </row>
    <row r="135" spans="1:3">
      <c r="A135" s="24" t="s">
        <v>221</v>
      </c>
      <c r="B135" s="25">
        <v>50</v>
      </c>
    </row>
    <row r="136" spans="1:3">
      <c r="A136" s="24" t="s">
        <v>215</v>
      </c>
      <c r="B136" s="32">
        <v>1749</v>
      </c>
      <c r="C136" s="16"/>
    </row>
    <row r="137" spans="1:3">
      <c r="A137" s="15"/>
      <c r="B137" s="23" t="s">
        <v>227</v>
      </c>
      <c r="C137" s="23" t="s">
        <v>228</v>
      </c>
    </row>
    <row r="138" spans="1:3">
      <c r="A138" s="24" t="s">
        <v>225</v>
      </c>
      <c r="B138" s="25">
        <v>1.22</v>
      </c>
      <c r="C138" s="25">
        <v>0.36</v>
      </c>
    </row>
    <row r="139" spans="1:3">
      <c r="A139" s="24" t="s">
        <v>229</v>
      </c>
      <c r="B139" s="25">
        <v>0</v>
      </c>
      <c r="C139" s="25">
        <v>0</v>
      </c>
    </row>
    <row r="140" spans="1:3">
      <c r="A140" s="24" t="s">
        <v>226</v>
      </c>
      <c r="B140" s="25">
        <v>31.28</v>
      </c>
      <c r="C140" s="25">
        <v>1.44</v>
      </c>
    </row>
    <row r="141" spans="1:3">
      <c r="A141" s="16"/>
      <c r="B141" s="16"/>
      <c r="C141" s="16"/>
    </row>
    <row r="142" spans="1:3">
      <c r="A142" s="24" t="s">
        <v>214</v>
      </c>
      <c r="B142" s="25">
        <v>1</v>
      </c>
      <c r="C142" s="25">
        <v>0</v>
      </c>
    </row>
    <row r="143" spans="1:3">
      <c r="A143" s="24" t="s">
        <v>217</v>
      </c>
      <c r="B143" s="25">
        <v>779</v>
      </c>
      <c r="C143" s="25">
        <v>0</v>
      </c>
    </row>
    <row r="144" spans="1:3">
      <c r="A144" s="24" t="s">
        <v>216</v>
      </c>
      <c r="B144" s="25">
        <v>164.26</v>
      </c>
      <c r="C144" s="25">
        <v>4.66</v>
      </c>
    </row>
    <row r="145" spans="1:3">
      <c r="A145" s="24" t="s">
        <v>224</v>
      </c>
      <c r="B145" s="25" t="s">
        <v>231</v>
      </c>
      <c r="C145" s="25" t="s">
        <v>256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27"/>
  <sheetViews>
    <sheetView topLeftCell="A6" workbookViewId="0">
      <selection activeCell="A9" sqref="A9"/>
    </sheetView>
  </sheetViews>
  <sheetFormatPr defaultRowHeight="15"/>
  <cols>
    <col min="1" max="1" width="23.85546875" customWidth="1"/>
    <col min="2" max="2" width="15" customWidth="1"/>
    <col min="3" max="3" width="16.7109375" customWidth="1"/>
    <col min="4" max="4" width="16.42578125" customWidth="1"/>
    <col min="6" max="6" width="14" customWidth="1"/>
  </cols>
  <sheetData>
    <row r="1" spans="1:8">
      <c r="A1" t="s">
        <v>264</v>
      </c>
    </row>
    <row r="2" spans="1:8">
      <c r="A2" s="8" t="s">
        <v>0</v>
      </c>
      <c r="E2" s="16"/>
      <c r="F2" s="16"/>
      <c r="G2" s="16"/>
      <c r="H2" s="16"/>
    </row>
    <row r="3" spans="1:8">
      <c r="A3" s="35" t="s">
        <v>273</v>
      </c>
      <c r="B3" s="35"/>
      <c r="G3" s="16"/>
      <c r="H3" s="16"/>
    </row>
    <row r="4" spans="1:8">
      <c r="A4" s="35" t="s">
        <v>274</v>
      </c>
      <c r="B4" s="35">
        <v>0</v>
      </c>
      <c r="E4" s="16"/>
      <c r="F4" s="16"/>
      <c r="G4" s="16"/>
      <c r="H4" s="15"/>
    </row>
    <row r="5" spans="1:8">
      <c r="A5" s="35" t="s">
        <v>275</v>
      </c>
      <c r="B5" s="35">
        <v>0</v>
      </c>
      <c r="E5" s="16"/>
      <c r="F5" s="16"/>
      <c r="G5" s="16"/>
      <c r="H5" s="15"/>
    </row>
    <row r="6" spans="1:8">
      <c r="A6" s="30" t="s">
        <v>266</v>
      </c>
      <c r="B6" s="36">
        <v>0</v>
      </c>
      <c r="C6" s="1"/>
      <c r="D6" s="1"/>
      <c r="E6" s="15"/>
      <c r="F6" s="15"/>
      <c r="G6" s="16"/>
      <c r="H6" s="16"/>
    </row>
    <row r="7" spans="1:8">
      <c r="A7" s="30" t="s">
        <v>265</v>
      </c>
      <c r="B7" s="36">
        <v>0</v>
      </c>
      <c r="E7" s="15"/>
      <c r="F7" s="16"/>
    </row>
    <row r="8" spans="1:8">
      <c r="A8" s="37" t="s">
        <v>15</v>
      </c>
      <c r="B8" s="37" t="s">
        <v>16</v>
      </c>
      <c r="C8" s="37" t="s">
        <v>17</v>
      </c>
      <c r="D8" s="37" t="s">
        <v>18</v>
      </c>
    </row>
    <row r="11" spans="1:8">
      <c r="A11" s="3" t="s">
        <v>267</v>
      </c>
      <c r="B11" s="1"/>
      <c r="C11" s="1"/>
      <c r="D11" s="1"/>
    </row>
    <row r="12" spans="1:8">
      <c r="A12" s="8" t="s">
        <v>12</v>
      </c>
      <c r="E12" s="16"/>
      <c r="F12" s="16"/>
    </row>
    <row r="13" spans="1:8">
      <c r="A13" s="35" t="s">
        <v>273</v>
      </c>
      <c r="B13" s="35"/>
      <c r="C13" s="29" t="s">
        <v>276</v>
      </c>
      <c r="D13" s="29"/>
      <c r="E13" s="29"/>
    </row>
    <row r="14" spans="1:8">
      <c r="A14" s="35" t="s">
        <v>274</v>
      </c>
      <c r="B14" s="35">
        <v>42</v>
      </c>
      <c r="C14" s="29"/>
      <c r="D14" s="29" t="s">
        <v>271</v>
      </c>
      <c r="E14" s="29" t="s">
        <v>270</v>
      </c>
    </row>
    <row r="15" spans="1:8">
      <c r="A15" s="35" t="s">
        <v>275</v>
      </c>
      <c r="B15" s="35">
        <v>35</v>
      </c>
      <c r="C15" s="29" t="s">
        <v>141</v>
      </c>
      <c r="D15" s="29">
        <v>0</v>
      </c>
      <c r="E15" s="29">
        <v>0</v>
      </c>
    </row>
    <row r="16" spans="1:8">
      <c r="A16" s="30" t="s">
        <v>266</v>
      </c>
      <c r="B16" s="36">
        <v>0</v>
      </c>
      <c r="C16" s="29" t="s">
        <v>142</v>
      </c>
      <c r="D16" s="29">
        <v>0</v>
      </c>
      <c r="E16" s="29">
        <v>0</v>
      </c>
    </row>
    <row r="17" spans="1:6">
      <c r="A17" s="30" t="s">
        <v>265</v>
      </c>
      <c r="B17" s="36">
        <v>0</v>
      </c>
    </row>
    <row r="18" spans="1:6">
      <c r="A18" s="37" t="s">
        <v>15</v>
      </c>
      <c r="B18" s="37" t="s">
        <v>16</v>
      </c>
      <c r="C18" s="37" t="s">
        <v>17</v>
      </c>
      <c r="D18" s="37" t="s">
        <v>18</v>
      </c>
    </row>
    <row r="20" spans="1:6">
      <c r="A20" t="s">
        <v>272</v>
      </c>
    </row>
    <row r="21" spans="1:6">
      <c r="A21" s="8" t="s">
        <v>149</v>
      </c>
    </row>
    <row r="22" spans="1:6">
      <c r="A22" s="35" t="s">
        <v>273</v>
      </c>
      <c r="B22" s="35"/>
    </row>
    <row r="23" spans="1:6">
      <c r="A23" s="35" t="s">
        <v>274</v>
      </c>
      <c r="B23" s="35">
        <v>42</v>
      </c>
    </row>
    <row r="24" spans="1:6">
      <c r="A24" s="35" t="s">
        <v>275</v>
      </c>
      <c r="B24" s="35">
        <v>35</v>
      </c>
    </row>
    <row r="25" spans="1:6">
      <c r="A25" s="30" t="s">
        <v>266</v>
      </c>
      <c r="B25" s="36">
        <v>0</v>
      </c>
    </row>
    <row r="26" spans="1:6">
      <c r="A26" s="30" t="s">
        <v>265</v>
      </c>
      <c r="B26" s="36">
        <v>0</v>
      </c>
    </row>
    <row r="27" spans="1:6">
      <c r="A27" s="37" t="s">
        <v>15</v>
      </c>
      <c r="B27" s="39" t="s">
        <v>212</v>
      </c>
      <c r="C27" s="37" t="s">
        <v>16</v>
      </c>
      <c r="D27" s="37" t="s">
        <v>17</v>
      </c>
      <c r="E27" s="38" t="s">
        <v>277</v>
      </c>
      <c r="F27" s="39" t="s"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Area 1</vt:lpstr>
      <vt:lpstr>_@RISKFitInformation</vt:lpstr>
      <vt:lpstr>Area 2</vt:lpstr>
      <vt:lpstr>Area 3</vt:lpstr>
      <vt:lpstr>Area 4</vt:lpstr>
      <vt:lpstr>Area 5</vt:lpstr>
      <vt:lpstr>Area 6</vt:lpstr>
      <vt:lpstr>Statistical Data Summary</vt:lpstr>
      <vt:lpstr>Simulation Results</vt:lpstr>
      <vt:lpstr>Data Collection Evolution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2015-03-17T14:50:28Z</dcterms:created>
  <dcterms:modified xsi:type="dcterms:W3CDTF">2015-05-05T04:51:48Z</dcterms:modified>
</cp:coreProperties>
</file>